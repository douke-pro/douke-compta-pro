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9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94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5.xml" ContentType="application/vnd.openxmlformats-officedocument.spreadsheetml.comments+xml"/>
  <Override PartName="/xl/comments13.xml" ContentType="application/vnd.openxmlformats-officedocument.spreadsheetml.comments+xml"/>
  <Override PartName="/xl/comments38.xml" ContentType="application/vnd.openxmlformats-officedocument.spreadsheetml.comments+xml"/>
  <Override PartName="/xl/comments4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808" firstSheet="33" activeTab="38"/>
  </bookViews>
  <sheets>
    <sheet sheetId="95" name="PAGE DE GARDE" state="visible" r:id="rId4"/>
    <sheet sheetId="1" name="BILAN" state="visible" r:id="rId5"/>
    <sheet sheetId="2" name="COMPTE_DE_RESULTAT" state="visible" r:id="rId6"/>
    <sheet sheetId="96" name="EXECUTION BUDGETAIRE" state="visible" r:id="rId7"/>
    <sheet sheetId="3" name="TFT" state="visible" r:id="rId8"/>
    <sheet sheetId="4" name="NOTES " state="visible" r:id="rId9"/>
    <sheet sheetId="5" name="NOTE 1" state="visible" r:id="rId10"/>
    <sheet sheetId="6" name="NOTE 2" state="visible" r:id="rId11"/>
    <sheet sheetId="7" name="NOTE 3" state="visible" r:id="rId12"/>
    <sheet sheetId="9" name="NOTE 4 " state="visible" r:id="rId13"/>
    <sheet sheetId="10" name="NOTE 5A" state="visible" r:id="rId14"/>
    <sheet sheetId="11" name="NOTE 5B" state="visible" r:id="rId15"/>
    <sheet sheetId="12" name="NOTE 5C" state="visible" r:id="rId16"/>
    <sheet sheetId="13" name="NOTE 5D" state="visible" r:id="rId17"/>
    <sheet sheetId="14" name="NOTE 5E" state="visible" r:id="rId18"/>
    <sheet sheetId="15" name="NOTE 5F" state="visible" r:id="rId19"/>
    <sheet sheetId="16" name="NOTE 5G" state="visible" r:id="rId20"/>
    <sheet sheetId="17" name="NOTE 5H" state="visible" r:id="rId21"/>
    <sheet sheetId="18" name="NOTE 6" state="visible" r:id="rId22"/>
    <sheet sheetId="19" name="NOTE 7" state="visible" r:id="rId23"/>
    <sheet sheetId="20" name="NOTE 8" state="visible" r:id="rId24"/>
    <sheet sheetId="21" name="NOTE 9" state="visible" r:id="rId25"/>
    <sheet sheetId="22" name="NOTE 10" state="visible" r:id="rId26"/>
    <sheet sheetId="23" name="NOTE 11" state="visible" r:id="rId27"/>
    <sheet sheetId="24" name="NOTE 12" state="visible" r:id="rId28"/>
    <sheet sheetId="25" name="NOTE 13" state="visible" r:id="rId29"/>
    <sheet sheetId="26" name="NOTE 14" state="visible" r:id="rId30"/>
    <sheet sheetId="27" name="NOTE 15" state="visible" r:id="rId31"/>
    <sheet sheetId="28" name="NOTE 16" state="visible" r:id="rId32"/>
    <sheet sheetId="29" name="NOTE 17A" state="visible" r:id="rId33"/>
    <sheet sheetId="30" name="NOTE 17B" state="visible" r:id="rId34"/>
    <sheet sheetId="31" name="NOTE 18A" state="visible" r:id="rId35"/>
    <sheet sheetId="32" name="NOTE 18B" state="visible" r:id="rId36"/>
    <sheet sheetId="33" name="NOTE 19" state="visible" r:id="rId37"/>
    <sheet sheetId="34" name="NOTE 20" state="visible" r:id="rId38"/>
    <sheet sheetId="35" name="NOTE 21" state="visible" r:id="rId39"/>
    <sheet sheetId="36" name="NOTE 22" state="visible" r:id="rId40"/>
    <sheet sheetId="37" name="NOTE 23" state="visible" r:id="rId41"/>
    <sheet sheetId="38" name="NOTE 24" state="visible" r:id="rId42"/>
    <sheet sheetId="39" name="NOTE 25" state="visible" r:id="rId43"/>
    <sheet sheetId="40" name="NOTE 26" state="visible" r:id="rId44"/>
    <sheet sheetId="41" name="NOTE 27" state="visible" r:id="rId45"/>
    <sheet sheetId="42" name="NOTE 28" state="visible" r:id="rId46"/>
    <sheet sheetId="43" name="NOTE 29A" state="visible" r:id="rId47"/>
    <sheet sheetId="45" name="NOTE 29B" state="visible" r:id="rId48"/>
    <sheet sheetId="46" name="NOTE 30" state="visible" r:id="rId49"/>
    <sheet sheetId="47" name="NOTE 31" state="visible" r:id="rId50"/>
    <sheet sheetId="48" name="NOTE 32" state="visible" r:id="rId51"/>
    <sheet sheetId="49" name="NOTE 33" state="visible" r:id="rId52"/>
    <sheet sheetId="50" name="NOTE 34" state="visible" r:id="rId53"/>
    <sheet sheetId="94" name="NOTE 35" state="visible" r:id="rId54"/>
    <sheet sheetId="51" name="CORRESPONDANCE-BILAN" state="visible" r:id="rId55"/>
    <sheet sheetId="52" name="CORRESPONDANCE-RESULTAT" state="visible" r:id="rId56"/>
  </sheets>
  <definedNames>
    <definedName name="_xlnm.Print_Area" localSheetId="1">'BILAN'!$A1:$M40</definedName>
    <definedName name="_xlnm.Print_Area" localSheetId="2">'COMPTE_DE_RESULTAT'!$A1:$F38</definedName>
    <definedName name="_xlnm.Print_Area" localSheetId="3">'EXECUTION BUDGETAIRE'!$A1:$I9</definedName>
    <definedName name="_xlnm.Print_Area" localSheetId="4">'TFT'!$A1:$G39</definedName>
    <definedName name="_xlnm.Print_Area" localSheetId="5">'NOTES '!$A1:$D65</definedName>
    <definedName name="_xlnm.Print_Area" localSheetId="6">'NOTE 1'!$A2:$G51</definedName>
    <definedName name="_xlnm.Print_Area" localSheetId="7">'NOTE 2'!$A1:$B42</definedName>
    <definedName name="_xlnm.Print_Area" localSheetId="8">'NOTE 3'!$A1:$B29</definedName>
    <definedName name="_xlnm.Print_Area" localSheetId="9">'NOTE 4 '!$A2:$B30</definedName>
    <definedName name="_xlnm.Print_Area" localSheetId="10">'NOTE 5A'!$A1:$I27</definedName>
    <definedName name="_xlnm.Print_Area" localSheetId="11">'NOTE 5B'!$A1:$I34</definedName>
    <definedName name="_xlnm.Print_Area" localSheetId="12">'NOTE 5C'!$A1:$J15</definedName>
    <definedName name="_xlnm.Print_Area" localSheetId="13">'NOTE 5D'!$A1:$L21</definedName>
    <definedName name="_xlnm.Print_Area" localSheetId="14">'NOTE 5E'!$A1:$H26</definedName>
    <definedName name="_xlnm.Print_Area" localSheetId="15">'NOTE 5F'!$A1:$F30</definedName>
    <definedName name="_xlnm.Print_Area" localSheetId="16">'NOTE 5G'!$A3:$G28</definedName>
    <definedName name="_xlnm.Print_Area" localSheetId="17">'NOTE 5H'!$A1:$E27</definedName>
    <definedName name="_xlnm.Print_Area" localSheetId="18">'NOTE 6'!$A1:$H28</definedName>
    <definedName name="_xlnm.Print_Area" localSheetId="19">'NOTE 7'!$A1:$F34</definedName>
    <definedName name="_xlnm.Print_Area" localSheetId="20">'NOTE 8'!$A1:$G26</definedName>
    <definedName name="_xlnm.Print_Area" localSheetId="21">'NOTE 9'!$A1:$I27</definedName>
    <definedName name="_xlnm.Print_Area" localSheetId="22">'NOTE 10'!$A1:$H26</definedName>
    <definedName name="_xlnm.Print_Area" localSheetId="23">'NOTE 11'!$A1:$F24</definedName>
    <definedName name="_xlnm.Print_Area" localSheetId="24">'NOTE 12'!$A1:$F21</definedName>
    <definedName name="_xlnm.Print_Area" localSheetId="25">'NOTE 13'!$A1:$E32</definedName>
    <definedName name="_xlnm.Print_Area" localSheetId="26">'NOTE 14'!$A1:$I20</definedName>
    <definedName name="_xlnm.Print_Area" localSheetId="27">'NOTE 15'!$A1:$E41</definedName>
    <definedName name="_xlnm.Print_Area" localSheetId="28">'NOTE 16'!$A1:$F17</definedName>
    <definedName name="_xlnm.Print_Area" localSheetId="29">'NOTE 17A'!$A1:$I29</definedName>
    <definedName name="_xlnm.Print_Area" localSheetId="30">'NOTE 17B'!$A1:$H27</definedName>
    <definedName name="_xlnm.Print_Area" localSheetId="31">'NOTE 18A'!$A1:$I40</definedName>
    <definedName name="_xlnm.Print_Area" localSheetId="32">'NOTE 18B'!$A1:$E22</definedName>
    <definedName name="_xlnm.Print_Area" localSheetId="33">'NOTE 19'!$A1:$I23</definedName>
    <definedName name="_xlnm.Print_Area" localSheetId="34">'NOTE 20'!$A1:$I32</definedName>
    <definedName name="_xlnm.Print_Area" localSheetId="35">'NOTE 21'!$A1:$I29</definedName>
    <definedName name="_xlnm.Print_Area" localSheetId="36">'NOTE 22'!$A1:$F23</definedName>
    <definedName name="_xlnm.Print_Area" localSheetId="37">'NOTE 23'!$A1:$I26</definedName>
    <definedName name="_xlnm.Print_Area" localSheetId="38">'NOTE 24'!$A1:$F37</definedName>
    <definedName name="_xlnm.Print_Area" localSheetId="39">'NOTE 25'!$A1:$F19</definedName>
    <definedName name="_xlnm.Print_Area" localSheetId="40">'NOTE 26'!$A1:$F30</definedName>
    <definedName name="_xlnm.Print_Area" localSheetId="41">'NOTE 27'!$A1:$H21</definedName>
    <definedName name="_xlnm.Print_Area" localSheetId="42">'NOTE 28'!$A1:$F23</definedName>
    <definedName name="_xlnm.Print_Area" localSheetId="43">'NOTE 29A'!$A1:$J25</definedName>
    <definedName name="_xlnm.Print_Area" localSheetId="44">'NOTE 29B'!$A1:$Q32</definedName>
    <definedName name="_xlnm.Print_Area" localSheetId="45">'NOTE 30'!$A1:$J33</definedName>
    <definedName name="_xlnm.Print_Area" localSheetId="46">'NOTE 31'!$A1:$F34</definedName>
    <definedName name="_xlnm.Print_Area" localSheetId="47">'NOTE 32'!$A1:$F33</definedName>
    <definedName name="_xlnm.Print_Area" localSheetId="48">'NOTE 33'!$A1:$F50</definedName>
    <definedName name="_xlnm.Print_Area" localSheetId="49">'NOTE 34'!$A1:$B52</definedName>
    <definedName name="_xlnm.Print_Area" localSheetId="50">'NOTE 35'!$A1:$J29</definedName>
    <definedName name="_xlnm.Print_Area" localSheetId="51">'CORRESPONDANCE-BILAN'!$A1:$H41</definedName>
    <definedName name="_xlnm.Print_Area" localSheetId="52">'CORRESPONDANCE-RESULTAT'!$A1:$E36</definedName>
  </definedNames>
  <calcPr fullCalcOnLoad="1" calcId="171027"/>
</workbook>
</file>

<file path=xl/comments1.xml><?xml version="1.0" encoding="utf-8"?>
<comments xmlns="http://schemas.openxmlformats.org/spreadsheetml/2006/main">
  <authors>
    <author>Author</author>
  </authors>
  <commentList>
    <comment ref="L16" authorId="0">
      <text>
        <r>
          <t xml:space="preserve">Correction du gabarit SYCEBNL - audit des formules, 2026-09-21.
Le total passif N-1 inclut désormais la ligne 15, comme K16.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9" authorId="0">
      <text>
        <r>
          <t xml:space="preserve">Correction du gabarit SYCEBNL - audit des formules, 2026-09-21.
Restauration du sous-total des dettes de location-acquisition.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G14" authorId="0">
      <text>
        <r>
          <t xml:space="preserve">Correction du gabarit SYCEBNL - audit des formules, 2026-09-21.
Suppression de la référence parasite à D1.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D9" authorId="0">
      <text>
        <r>
          <t xml:space="preserve">Correction du gabarit SYCEBNL - audit des formules, 2026-09-21.
La variation de la ligne 9 utilise la valeur N-1 de la même ligne.</t>
        </r>
      </text>
    </comment>
    <comment ref="E9" authorId="0">
      <text>
        <r>
          <t xml:space="preserve">Correction du gabarit SYCEBNL - audit des formules, 2026-09-21.
Le pourcentage de variation de la ligne 9 utilise la valeur N-1 de la même ligne.</t>
        </r>
      </text>
    </comment>
  </commentList>
</comments>
</file>

<file path=xl/comments49.xml><?xml version="1.0" encoding="utf-8"?>
<comments xmlns="http://schemas.openxmlformats.org/spreadsheetml/2006/main">
  <authors>
    <author>Author</author>
  </authors>
  <commentList>
    <comment ref="E9" authorId="0">
      <text>
        <r>
          <t xml:space="preserve">Correction du gabarit SYCEBNL - audit des formules, 2026-09-21.
Correction du décalage de trois lignes dans la variation de la ligne 9.</t>
        </r>
      </text>
    </comment>
    <comment ref="E10" authorId="0">
      <text>
        <r>
          <t xml:space="preserve">Correction du gabarit SYCEBNL - audit des formules, 2026-09-21.
Correction du décalage de trois lignes dans la variation de la ligne 10.</t>
        </r>
      </text>
    </comment>
    <comment ref="E11" authorId="0">
      <text>
        <r>
          <t xml:space="preserve">Correction du gabarit SYCEBNL - audit des formules, 2026-09-21.
Correction du décalage de trois lignes dans la variation de la ligne 11.</t>
        </r>
      </text>
    </comment>
    <comment ref="E12" authorId="0">
      <text>
        <r>
          <t xml:space="preserve">Correction du gabarit SYCEBNL - audit des formules, 2026-09-21.
Correction du décalage de trois lignes dans la variation de la ligne 12.</t>
        </r>
      </text>
    </comment>
    <comment ref="E13" authorId="0">
      <text>
        <r>
          <t xml:space="preserve">Correction du gabarit SYCEBNL - audit des formules, 2026-09-21.
Correction du décalage de trois lignes dans la variation de la ligne 13.</t>
        </r>
      </text>
    </comment>
    <comment ref="E14" authorId="0">
      <text>
        <r>
          <t xml:space="preserve">Correction du gabarit SYCEBNL - audit des formules, 2026-09-21.
Correction du décalage de trois lignes dans la variation de la ligne 14.</t>
        </r>
      </text>
    </comment>
    <comment ref="E15" authorId="0">
      <text>
        <r>
          <t xml:space="preserve">Correction du gabarit SYCEBNL - audit des formules, 2026-09-21.
Correction du décalage de trois lignes dans la variation de la ligne 15.</t>
        </r>
      </text>
    </comment>
  </commentList>
</comments>
</file>

<file path=xl/sharedStrings.xml><?xml version="1.0" encoding="utf-8"?>
<sst xmlns="http://schemas.openxmlformats.org/spreadsheetml/2006/main" count="1807" uniqueCount="1251">
  <si>
    <t>REPUBLIQUE DU BENIN</t>
  </si>
  <si>
    <t xml:space="preserve">             MINISTERE DE L'ECONOMIE DES FINANCES </t>
  </si>
  <si>
    <t>DIRECTION GENERALE DES IMPOTS</t>
  </si>
  <si>
    <t>CENTRE DES IMPOTS DU CIPE3 CHAMP DE FOIRE</t>
  </si>
  <si>
    <r>
      <t xml:space="preserve">      </t>
    </r>
    <r>
      <rPr>
        <b/>
        <u/>
        <family val="2"/>
        <sz val="11"/>
        <rFont val="Arial"/>
      </rPr>
      <t xml:space="preserve">                                                </t>
    </r>
  </si>
  <si>
    <t xml:space="preserve">      </t>
  </si>
  <si>
    <t xml:space="preserve">ETATS FINANCIERS DES ASSOCIATIONS, FONDATIONS ET ASSIMILEES </t>
  </si>
  <si>
    <r>
      <t xml:space="preserve">SYSTÈME COMPTABLE DES ENTITES </t>
    </r>
    <r>
      <rPr>
        <b/>
        <family val="2"/>
        <sz val="11"/>
        <rFont val="Calibri"/>
      </rPr>
      <t>À</t>
    </r>
    <r>
      <rPr>
        <b/>
        <family val="2"/>
        <sz val="11"/>
        <rFont val="Arial"/>
      </rPr>
      <t xml:space="preserve"> BUT NON LUCRATIF (SYSCEBNL)</t>
    </r>
  </si>
  <si>
    <t>EXERCICE CLOS LE :</t>
  </si>
  <si>
    <t>DESIGNATION DE L'ENTITE</t>
  </si>
  <si>
    <r>
      <t xml:space="preserve">     </t>
    </r>
    <r>
      <rPr>
        <b/>
        <u/>
        <family val="2"/>
        <sz val="11"/>
        <rFont val="Arial"/>
      </rPr>
      <t xml:space="preserve">                   </t>
    </r>
  </si>
  <si>
    <r>
      <rPr>
        <family val="2"/>
        <sz val="11"/>
        <rFont val="Arial"/>
      </rPr>
      <t xml:space="preserve"> DENOMINATION SOCIALE :</t>
    </r>
    <r>
      <rPr>
        <b/>
        <family val="2"/>
        <sz val="11"/>
        <rFont val="Arial"/>
      </rPr>
      <t xml:space="preserve"> </t>
    </r>
  </si>
  <si>
    <t xml:space="preserve">       (ou nom et prénoms de l'exploitant)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</si>
  <si>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</si>
  <si>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r>
      <t xml:space="preserve"> SIGLE USUEL : </t>
    </r>
    <r>
      <rPr>
        <b/>
        <family val="2"/>
        <sz val="11"/>
        <rFont val="Arial"/>
      </rPr>
      <t xml:space="preserve"> </t>
    </r>
    <r>
      <rPr>
        <family val="2"/>
        <sz val="11"/>
        <rFont val="Arial"/>
      </rPr>
      <t xml:space="preserve">                                           </t>
    </r>
  </si>
  <si>
    <t>BTP</t>
  </si>
  <si>
    <t xml:space="preserve">ADRESSE COMPLETE : </t>
  </si>
  <si>
    <t xml:space="preserve"> </t>
  </si>
  <si>
    <t>12eme arrondissement ,Qtier les Cocotiers ,Immeuble sèmè one</t>
  </si>
  <si>
    <r>
      <t xml:space="preserve">N° D'IDENTIFICATION FISCALE :     </t>
    </r>
    <r>
      <rPr>
        <b/>
        <family val="2"/>
        <sz val="14"/>
        <rFont val="Arial"/>
      </rPr>
      <t xml:space="preserve">6202353567270  </t>
    </r>
  </si>
  <si>
    <t>SYSTEME NORMAL POUR LES ASSOCIATIONS ET ORDRE PROFESSIONNELS</t>
  </si>
  <si>
    <t>Documents déposés</t>
  </si>
  <si>
    <t>Réservé à la Direction Générale des Impôts</t>
  </si>
  <si>
    <t>Date de dépôt</t>
  </si>
  <si>
    <t>Fiche d'identification et renseignements divers</t>
  </si>
  <si>
    <t>X</t>
  </si>
  <si>
    <t>Bilan</t>
  </si>
  <si>
    <t xml:space="preserve"> </t>
  </si>
  <si>
    <t>Compte de résultat</t>
  </si>
  <si>
    <t>Tableau des flux et trésorerie</t>
  </si>
  <si>
    <t>Nom de l'agent de la DGI ayant réceptionné le dépôt</t>
  </si>
  <si>
    <t>Notes annexées</t>
  </si>
  <si>
    <t>Nombre de pages déposées par exemplaire</t>
  </si>
  <si>
    <t>Signature de l'agent et cachet du service</t>
  </si>
  <si>
    <t>Nombre d'exemplaires déposés</t>
  </si>
  <si>
    <t>REF</t>
  </si>
  <si>
    <t>ACTIF</t>
  </si>
  <si>
    <t>Note</t>
  </si>
  <si>
    <t>EXERCICE AU 31/12/N</t>
  </si>
  <si>
    <t>EXERCICE AU 31/12/N-1</t>
  </si>
  <si>
    <t>PASSIF</t>
  </si>
  <si>
    <t>BRUT</t>
  </si>
  <si>
    <t>AMORT ET DEPREC</t>
  </si>
  <si>
    <t>NET</t>
  </si>
  <si>
    <t>AA</t>
  </si>
  <si>
    <t>IMMOBILISATION DESTINEES A LA VENTE PROVENANT DE DONS ET LEGS NON ENCORE RECUES ET USUFRUIT TEMPORAIRE</t>
  </si>
  <si>
    <t>CA</t>
  </si>
  <si>
    <t>Dotation non consomptible sans droit de reprise</t>
  </si>
  <si>
    <t>AB</t>
  </si>
  <si>
    <t>Immobilsation incorporelles</t>
  </si>
  <si>
    <t>CB</t>
  </si>
  <si>
    <t>Dotation non consomptible avec droit de reprise</t>
  </si>
  <si>
    <t>AC</t>
  </si>
  <si>
    <t>Immoblisation corporelles et financières</t>
  </si>
  <si>
    <t>CC</t>
  </si>
  <si>
    <t>Droit d'entrée</t>
  </si>
  <si>
    <t>AD</t>
  </si>
  <si>
    <t>IMMOBILISATION INCORPORELLES</t>
  </si>
  <si>
    <t>CD</t>
  </si>
  <si>
    <t>Dotation consomptible</t>
  </si>
  <si>
    <t>AE</t>
  </si>
  <si>
    <t>Brevets, licences, logiciels et droits similaires</t>
  </si>
  <si>
    <t>CE</t>
  </si>
  <si>
    <t>Ecarts de réévaluation</t>
  </si>
  <si>
    <t>5F</t>
  </si>
  <si>
    <t>AF</t>
  </si>
  <si>
    <t>Autres immobilisations incorporelles</t>
  </si>
  <si>
    <t>CF</t>
  </si>
  <si>
    <t>Réserves</t>
  </si>
  <si>
    <t>AG</t>
  </si>
  <si>
    <t>Avances et accomptes versées sur immoblisations incorporelles</t>
  </si>
  <si>
    <t>CG</t>
  </si>
  <si>
    <t>Report à nouveau (+ ou-)</t>
  </si>
  <si>
    <t>AH</t>
  </si>
  <si>
    <t>IMMOBILISATIONS CORPORELLES</t>
  </si>
  <si>
    <t>CH</t>
  </si>
  <si>
    <t>Résultat net de l'exercice (excédent + ou déficit- )</t>
  </si>
  <si>
    <t>AI</t>
  </si>
  <si>
    <t>Terrains</t>
  </si>
  <si>
    <t>CI</t>
  </si>
  <si>
    <t>Subventions d'investissement</t>
  </si>
  <si>
    <t>17A</t>
  </si>
  <si>
    <t>AJ</t>
  </si>
  <si>
    <t>Batiments</t>
  </si>
  <si>
    <t>CJ</t>
  </si>
  <si>
    <t>Provisions réglementées</t>
  </si>
  <si>
    <t>AK</t>
  </si>
  <si>
    <t>Aménagements, agancements et installations</t>
  </si>
  <si>
    <t>CK</t>
  </si>
  <si>
    <t>TOTAL FONDS PROPRES ET ASSIMILES</t>
  </si>
  <si>
    <t>AL</t>
  </si>
  <si>
    <t>Matériel, mobilier et actifs biologiques</t>
  </si>
  <si>
    <t>CW</t>
  </si>
  <si>
    <t>Fonds affectés et provenant de dons et legs d'immobilisations</t>
  </si>
  <si>
    <t>17B</t>
  </si>
  <si>
    <t>AM</t>
  </si>
  <si>
    <t>Materiel de transport</t>
  </si>
  <si>
    <t>CX</t>
  </si>
  <si>
    <t>Fonds reportés</t>
  </si>
  <si>
    <t>AN</t>
  </si>
  <si>
    <t>Avances et accomptes versées sur immoblisations corporelles</t>
  </si>
  <si>
    <t>CY</t>
  </si>
  <si>
    <t>TOTAL FONDS AFFECTES ET REPORTES</t>
  </si>
  <si>
    <t>AO</t>
  </si>
  <si>
    <t>IMMOBILISATIONS FINANCIERES</t>
  </si>
  <si>
    <t>CZ</t>
  </si>
  <si>
    <t>TOTAL RESSOURCES PROPRES ET ASSIMILEES</t>
  </si>
  <si>
    <t>AX</t>
  </si>
  <si>
    <t>Titre de particiapations</t>
  </si>
  <si>
    <t>DA</t>
  </si>
  <si>
    <t>Emprunts et dettes financières</t>
  </si>
  <si>
    <t>18A</t>
  </si>
  <si>
    <t>AY</t>
  </si>
  <si>
    <t>Autres immobilisations financières</t>
  </si>
  <si>
    <t>DB</t>
  </si>
  <si>
    <t>Dettes de location-acquisition</t>
  </si>
  <si>
    <t>DC</t>
  </si>
  <si>
    <t>Provisions pour risques et charges</t>
  </si>
  <si>
    <t>DD</t>
  </si>
  <si>
    <t>TOTAL DETTES FINANCIERES ET RESSOURCES ASSIMILEES</t>
  </si>
  <si>
    <t>AZ</t>
  </si>
  <si>
    <t>TOTAL ACTIF IMMOBILISE</t>
  </si>
  <si>
    <t>DE</t>
  </si>
  <si>
    <t>TOTAL RESSOURCES STABLES</t>
  </si>
  <si>
    <t>BA</t>
  </si>
  <si>
    <t>Actif circulant HAO</t>
  </si>
  <si>
    <t>DF</t>
  </si>
  <si>
    <t>Dettes circulantes HAO</t>
  </si>
  <si>
    <t>BB</t>
  </si>
  <si>
    <t>Stocks et encours</t>
  </si>
  <si>
    <t>DG</t>
  </si>
  <si>
    <t>Adhérents, clients-usagres crédteurs</t>
  </si>
  <si>
    <t>BC</t>
  </si>
  <si>
    <t>Fournisseurs débiteurs</t>
  </si>
  <si>
    <t>DH</t>
  </si>
  <si>
    <t>Fournisseurs</t>
  </si>
  <si>
    <t>BD</t>
  </si>
  <si>
    <t xml:space="preserve">Adhérents, clients-usagers </t>
  </si>
  <si>
    <t>DI</t>
  </si>
  <si>
    <t>Autres dettes</t>
  </si>
  <si>
    <t>20 &amp; 21</t>
  </si>
  <si>
    <t>BE</t>
  </si>
  <si>
    <t>Autres créances</t>
  </si>
  <si>
    <t>BT</t>
  </si>
  <si>
    <t>TOTAL ACTIF CIRCULANT</t>
  </si>
  <si>
    <t>DV</t>
  </si>
  <si>
    <t>TOTAL PASSIF CIRCULANT</t>
  </si>
  <si>
    <t>BU</t>
  </si>
  <si>
    <t>Titres de placements</t>
  </si>
  <si>
    <t>DW</t>
  </si>
  <si>
    <t>Banques, établissements financiers et crédits de trésorerie</t>
  </si>
  <si>
    <t>BV</t>
  </si>
  <si>
    <t>Valeurs à encaisser</t>
  </si>
  <si>
    <t>BW</t>
  </si>
  <si>
    <t>Banques, établissements financiers, caisses et assimilés</t>
  </si>
  <si>
    <t>BX</t>
  </si>
  <si>
    <t>TOTAL TRESORERIE ACTIF</t>
  </si>
  <si>
    <t>DX</t>
  </si>
  <si>
    <t>TOTAL TRESORERIE PASSIF</t>
  </si>
  <si>
    <t>BY</t>
  </si>
  <si>
    <t>Ecarts de conversion-Actif</t>
  </si>
  <si>
    <t>DY</t>
  </si>
  <si>
    <t>Ecarts de conversion-passif</t>
  </si>
  <si>
    <t>BZ</t>
  </si>
  <si>
    <t>TOTAL GENERAL</t>
  </si>
  <si>
    <t>DZ</t>
  </si>
  <si>
    <t>LIBELLES</t>
  </si>
  <si>
    <t>NOTE</t>
  </si>
  <si>
    <t>RA</t>
  </si>
  <si>
    <t>Cotissations</t>
  </si>
  <si>
    <t>RB</t>
  </si>
  <si>
    <t>Dotations consomptibles transférées au compte de resultats</t>
  </si>
  <si>
    <t>RC</t>
  </si>
  <si>
    <t>Revenus liés à la générosité</t>
  </si>
  <si>
    <t>RD</t>
  </si>
  <si>
    <t>Ventes de marchandises</t>
  </si>
  <si>
    <t>RE</t>
  </si>
  <si>
    <t>Ventes de services et produits finis</t>
  </si>
  <si>
    <t>RF</t>
  </si>
  <si>
    <t>Subvention d'exploitation</t>
  </si>
  <si>
    <t>RG</t>
  </si>
  <si>
    <t>Autres produits et transferts de charges</t>
  </si>
  <si>
    <t>RH</t>
  </si>
  <si>
    <t>Reprises de provisions, dépréciations, subventions et autres reprises</t>
  </si>
  <si>
    <t>5D&amp;30</t>
  </si>
  <si>
    <t>XA</t>
  </si>
  <si>
    <t>REVENUS DESS ACTIVITES ORDINAIRES (Somme RA à RG)</t>
  </si>
  <si>
    <t>TA</t>
  </si>
  <si>
    <t>Achats de biens et services liés à l'activité</t>
  </si>
  <si>
    <t>TB</t>
  </si>
  <si>
    <t>Variation de stocks des achats de biens et services liés à l'activté</t>
  </si>
  <si>
    <t>TC</t>
  </si>
  <si>
    <t>Achats de marchandises et matières premières</t>
  </si>
  <si>
    <t>TD</t>
  </si>
  <si>
    <t>Autres achats</t>
  </si>
  <si>
    <t>TE</t>
  </si>
  <si>
    <t>Variation de stocks de marchandises, de matièeres premières et autres</t>
  </si>
  <si>
    <t>TF</t>
  </si>
  <si>
    <t>Transports</t>
  </si>
  <si>
    <t>TG</t>
  </si>
  <si>
    <t>Services exterieurs</t>
  </si>
  <si>
    <t>TH</t>
  </si>
  <si>
    <t>Impots et taxes</t>
  </si>
  <si>
    <t>TI</t>
  </si>
  <si>
    <t>Autres charges</t>
  </si>
  <si>
    <t>TJ</t>
  </si>
  <si>
    <t>Charges de personnel</t>
  </si>
  <si>
    <t>TK</t>
  </si>
  <si>
    <t>Frais financiers er charges assimilées</t>
  </si>
  <si>
    <t>TL</t>
  </si>
  <si>
    <t>Dotations aux amortisselents, aux provisions, aux dépréciations et autres</t>
  </si>
  <si>
    <t>XB</t>
  </si>
  <si>
    <t>CHARGES DES ACTIVITES ORDINAIRES (Somme TA à TL)</t>
  </si>
  <si>
    <t>XC</t>
  </si>
  <si>
    <t>RESULTATS DES ACTIVITES ORDINAIRES ( XA - XB)</t>
  </si>
  <si>
    <t>TM</t>
  </si>
  <si>
    <t>Produits H.A.O.</t>
  </si>
  <si>
    <t>TN</t>
  </si>
  <si>
    <t>Charges H.A.O.</t>
  </si>
  <si>
    <t>XD</t>
  </si>
  <si>
    <t>RESULTATS H.AO. (TM -TN)</t>
  </si>
  <si>
    <t>XE</t>
  </si>
  <si>
    <t>RESULTATS NET DE L'EXERCICE                                (+excédent, -déficit) (XC + XD)</t>
  </si>
  <si>
    <t>TABLEAU SUIVI EXECITION BUDGET DU 01/01/2025AU 31/12/2025</t>
  </si>
  <si>
    <t xml:space="preserve">Code </t>
  </si>
  <si>
    <t>Libellé</t>
  </si>
  <si>
    <t xml:space="preserve">Budget de l'exercice </t>
  </si>
  <si>
    <t>Décaissement</t>
  </si>
  <si>
    <t>Engagement</t>
  </si>
  <si>
    <t>Réalisation</t>
  </si>
  <si>
    <t>Crédit Disponible</t>
  </si>
  <si>
    <t>Exécution budget (%)</t>
  </si>
  <si>
    <t>4= 2+3</t>
  </si>
  <si>
    <t>5= 1-4</t>
  </si>
  <si>
    <t xml:space="preserve"> 4 / 1</t>
  </si>
  <si>
    <t>Meet up 2025</t>
  </si>
  <si>
    <t>salaire consultante</t>
  </si>
  <si>
    <t>Espace coworking</t>
  </si>
  <si>
    <t>Honnoraire du CAC</t>
  </si>
  <si>
    <t>EXERCICE N</t>
  </si>
  <si>
    <t>EXERCICE N-1</t>
  </si>
  <si>
    <t>ZA</t>
  </si>
  <si>
    <r>
      <rPr>
        <b/>
        <color theme="0"/>
        <family val="1"/>
        <sz val="11"/>
        <rFont val="Times New Roman"/>
      </rPr>
      <t>Trésorerie nette au 1er janvier</t>
    </r>
    <r>
      <rPr>
        <color theme="0"/>
        <family val="1"/>
        <sz val="11"/>
        <rFont val="Times New Roman"/>
      </rPr>
      <t xml:space="preserve">                                                   </t>
    </r>
  </si>
  <si>
    <t>A</t>
  </si>
  <si>
    <t>(Trésorerie actif N-1 - Trésorerie passif N-1 )</t>
  </si>
  <si>
    <t>Flux de trésorerie provenant des activités opérationnelles</t>
  </si>
  <si>
    <t>FA</t>
  </si>
  <si>
    <t xml:space="preserve"> + Encaissement des cotisations</t>
  </si>
  <si>
    <t>FB</t>
  </si>
  <si>
    <t xml:space="preserve"> + Encaissement des subventions d'exploitation et d'équilibre</t>
  </si>
  <si>
    <t>FC</t>
  </si>
  <si>
    <t xml:space="preserve"> + Encaissement des revenus liés à la générosité</t>
  </si>
  <si>
    <t>FD</t>
  </si>
  <si>
    <t xml:space="preserve"> + Encaissement des revenus des manifestations</t>
  </si>
  <si>
    <t>FE</t>
  </si>
  <si>
    <t xml:space="preserve"> + Encaissement des autres revenus</t>
  </si>
  <si>
    <t>FF</t>
  </si>
  <si>
    <t xml:space="preserve"> - Décaissement des sommes versées aux fournisseurs (1)</t>
  </si>
  <si>
    <t>FG</t>
  </si>
  <si>
    <t xml:space="preserve"> - Décaissement des sommes versées aux personnel</t>
  </si>
  <si>
    <t>FH</t>
  </si>
  <si>
    <t xml:space="preserve"> - Autres décaissements</t>
  </si>
  <si>
    <t>ZB</t>
  </si>
  <si>
    <t>Flux de trésorerie provenant des activités opérationnelles (somme FA à FH)</t>
  </si>
  <si>
    <t>B</t>
  </si>
  <si>
    <t>Flux de trésorerie provenant des activités d'investissements</t>
  </si>
  <si>
    <t>FI</t>
  </si>
  <si>
    <t xml:space="preserve"> - Décaissements liés aux acquisitions d'immobisations incorporelles et corporelles</t>
  </si>
  <si>
    <t>FJ</t>
  </si>
  <si>
    <t xml:space="preserve"> - Décaissements liés aux acquisitions d'immobisations financères</t>
  </si>
  <si>
    <t>FK</t>
  </si>
  <si>
    <t xml:space="preserve"> + Encaissements liés aux cessions d'immobilisations incorporelles et corporelles</t>
  </si>
  <si>
    <t>FL</t>
  </si>
  <si>
    <t xml:space="preserve"> + Encaissements liés aux cessions d'immobilisations financières</t>
  </si>
  <si>
    <t>ZC</t>
  </si>
  <si>
    <r>
      <rPr>
        <b/>
        <color theme="0"/>
        <family val="1"/>
        <sz val="11"/>
        <rFont val="Times New Roman"/>
      </rPr>
      <t>Flux de trésorerie provenant des activités d'investissement (somme FI à F</t>
    </r>
    <r>
      <rPr>
        <color theme="0"/>
        <family val="1"/>
        <sz val="11"/>
        <rFont val="Times New Roman"/>
      </rPr>
      <t>L)</t>
    </r>
  </si>
  <si>
    <t>C</t>
  </si>
  <si>
    <t>Flux de trésorerie provenant du financement par les fonds propres</t>
  </si>
  <si>
    <t>FM</t>
  </si>
  <si>
    <t xml:space="preserve"> + Encaissemen des dotations et autres fonds propres</t>
  </si>
  <si>
    <t>FN</t>
  </si>
  <si>
    <t xml:space="preserve"> + Subventions d'investissement reçues</t>
  </si>
  <si>
    <t>FO</t>
  </si>
  <si>
    <t xml:space="preserve"> - Décaissement des dotations et autres fonds propres</t>
  </si>
  <si>
    <t>ZD</t>
  </si>
  <si>
    <t xml:space="preserve">  Flux de trésorerie provenant des fonds propres (somme FM à FO)</t>
  </si>
  <si>
    <t>D</t>
  </si>
  <si>
    <t>Trésorerie provenant du financement par les fonds étrangers</t>
  </si>
  <si>
    <t>FP</t>
  </si>
  <si>
    <t xml:space="preserve"> +Encaissement provenant des emprunts et des autres dettes financères</t>
  </si>
  <si>
    <t>FQ</t>
  </si>
  <si>
    <t xml:space="preserve"> - Remboursements des emprunts et autres dettes financières</t>
  </si>
  <si>
    <t>ZE</t>
  </si>
  <si>
    <t xml:space="preserve">Trésorerie provenant des fonds étrangers (somme FP à FQ) </t>
  </si>
  <si>
    <t>E</t>
  </si>
  <si>
    <t>Flux de trésorerie provenant des activités de financement (D+E)</t>
  </si>
  <si>
    <t>ZF</t>
  </si>
  <si>
    <t>VARIATION DE LA TRESORERIE NETTE DE LA                                 PERIODE ( B+C+D+E)</t>
  </si>
  <si>
    <t>G</t>
  </si>
  <si>
    <t>ZG</t>
  </si>
  <si>
    <t>Trésorerie nette au 31 Décembre ( G+A) -59 731 017                        (Contrôle : Trésorerie actif N - Trésorerie passif N ) 98 375 375</t>
  </si>
  <si>
    <t>H</t>
  </si>
  <si>
    <t>(1) à l'exclusion des fournisseurs d'investissements.</t>
  </si>
  <si>
    <t>NOTES</t>
  </si>
  <si>
    <t>INTITULES</t>
  </si>
  <si>
    <t>N/A</t>
  </si>
  <si>
    <t>Partie 1: Informations générales</t>
  </si>
  <si>
    <t>Note 1</t>
  </si>
  <si>
    <t>Dettes garanties par des suretés réelles, engagements financiers et contributions volontaires en nature</t>
  </si>
  <si>
    <t>Note 2</t>
  </si>
  <si>
    <t>Informations obligatoires</t>
  </si>
  <si>
    <t>Note 3</t>
  </si>
  <si>
    <t xml:space="preserve">Evènements postérieurs à la cloture de l'exercice </t>
  </si>
  <si>
    <t>Note 4</t>
  </si>
  <si>
    <t>Changements de méthodes comptables, d'estimations et corrections d'erreurs</t>
  </si>
  <si>
    <t>Partie 2 : Notes sur bilan</t>
  </si>
  <si>
    <t>Note 5A</t>
  </si>
  <si>
    <t>Dons et legs d'immobilisations non reçus destinés à la vente et usufruit temporaire</t>
  </si>
  <si>
    <t>Note 5B</t>
  </si>
  <si>
    <t>Immobilisations brutes</t>
  </si>
  <si>
    <t>Note 5C</t>
  </si>
  <si>
    <t>Biens pris en location - acquisition</t>
  </si>
  <si>
    <t>Note 5D</t>
  </si>
  <si>
    <t>Dons et legs d'immobilisations non reçus destinés à la vente et usufruit temporaire (amortissements et dépréciations)</t>
  </si>
  <si>
    <t>Note 5E</t>
  </si>
  <si>
    <t>Immobilisations : Amortissements</t>
  </si>
  <si>
    <t>Note 5F</t>
  </si>
  <si>
    <t>Immobilisations : Dépréciations</t>
  </si>
  <si>
    <t>Note 5G</t>
  </si>
  <si>
    <t>Immobilisation : Plus-values et moins-values de cession</t>
  </si>
  <si>
    <t>Note 5H</t>
  </si>
  <si>
    <t>Informations sur les réevaluations effectuées par l'entité</t>
  </si>
  <si>
    <t>Note 6</t>
  </si>
  <si>
    <t>Immobilisations financières</t>
  </si>
  <si>
    <t>Note 7</t>
  </si>
  <si>
    <t>Actif circulant et dettes circulantes HAO</t>
  </si>
  <si>
    <t>Note 8</t>
  </si>
  <si>
    <t>Note 9</t>
  </si>
  <si>
    <t>Adhérents, clients-usagers</t>
  </si>
  <si>
    <t>Note 10</t>
  </si>
  <si>
    <t>Note 11</t>
  </si>
  <si>
    <t>Titres de placement</t>
  </si>
  <si>
    <t>Note 12</t>
  </si>
  <si>
    <t>Note 13</t>
  </si>
  <si>
    <t xml:space="preserve">Disponibilités </t>
  </si>
  <si>
    <t>Note 14</t>
  </si>
  <si>
    <t>Ecarts de conversion</t>
  </si>
  <si>
    <t>Note 15</t>
  </si>
  <si>
    <t>Dotation</t>
  </si>
  <si>
    <t>Note 16</t>
  </si>
  <si>
    <t>Note 17A</t>
  </si>
  <si>
    <t>Subventions et provisions règlementées</t>
  </si>
  <si>
    <t>Note 17B</t>
  </si>
  <si>
    <t>Fonds affectés et reportés</t>
  </si>
  <si>
    <t>Note 18A</t>
  </si>
  <si>
    <t>Dettes financières et ressources assimilées</t>
  </si>
  <si>
    <t>Note 18B</t>
  </si>
  <si>
    <t>Actifs et passifs éventuels</t>
  </si>
  <si>
    <t>Note 19</t>
  </si>
  <si>
    <t>Fournisseurs d'exploitation</t>
  </si>
  <si>
    <t>Note 20</t>
  </si>
  <si>
    <t>Dettes fiscales et sociales</t>
  </si>
  <si>
    <t>Note 21</t>
  </si>
  <si>
    <t>Autres dettes et provisions pour risques et charges à court terme</t>
  </si>
  <si>
    <t>Note 22</t>
  </si>
  <si>
    <t>Banques, crédit d'escompte et de trésorerie</t>
  </si>
  <si>
    <t>Partie 3 : Notes sur le compte de résultat</t>
  </si>
  <si>
    <t>Note 23</t>
  </si>
  <si>
    <t>Revenus et autres produits</t>
  </si>
  <si>
    <t>Note 24</t>
  </si>
  <si>
    <t>Achats</t>
  </si>
  <si>
    <t>Note 25</t>
  </si>
  <si>
    <t>Note 26</t>
  </si>
  <si>
    <t>Services extérieurs</t>
  </si>
  <si>
    <t>Note 27</t>
  </si>
  <si>
    <t>Note 28</t>
  </si>
  <si>
    <t>Note 29A</t>
  </si>
  <si>
    <t>Note 29B</t>
  </si>
  <si>
    <t>Effectifs, masse salariale et personnel extérieur</t>
  </si>
  <si>
    <t>Note 30</t>
  </si>
  <si>
    <t>Dotations et charges pour provisions et dépréciations</t>
  </si>
  <si>
    <t>Note 31</t>
  </si>
  <si>
    <t>Charges et revenus financiers</t>
  </si>
  <si>
    <t>Note 32</t>
  </si>
  <si>
    <t>Autres charges et produits HAO</t>
  </si>
  <si>
    <t>Partie 4 : Autres informations</t>
  </si>
  <si>
    <t>Note 33</t>
  </si>
  <si>
    <t>Fiche de synthèsse des principaux indicateurs financiers</t>
  </si>
  <si>
    <t>Note 34</t>
  </si>
  <si>
    <t>Liste des informations sociales, environnementales et sociétales</t>
  </si>
  <si>
    <t>Note 35</t>
  </si>
  <si>
    <t>Tableau d'exécution budgétaire</t>
  </si>
  <si>
    <t>(1) les Notes non documentées ne doivent pas être jointes aux états financiers. Leurcontenu peut être amélioré par</t>
  </si>
  <si>
    <t>les entités. Par ailleurs, dans une note , les lignes non chiffrées doivent être supprimées. Par exemple, dans la Note</t>
  </si>
  <si>
    <t>26 Services extérieurs, lorsque la ligne sous-traitance générale n'est pas chiffrée, elle ne doit pas figurer dans cette</t>
  </si>
  <si>
    <t>note.</t>
  </si>
  <si>
    <t>A : Applicable                       N/A : Non applicable.</t>
  </si>
  <si>
    <t>Par exemple pour une entité qui n'a pas de stoks et en-cours, elle doit cocher à l'intersection ('ligne  "NOTE6" &amp;</t>
  </si>
  <si>
    <t>"colonne N/A")</t>
  </si>
  <si>
    <t>Libellés</t>
  </si>
  <si>
    <t>Montant brut (1)</t>
  </si>
  <si>
    <t>SURETES REELLES (2)</t>
  </si>
  <si>
    <t>Hypothèques</t>
  </si>
  <si>
    <t>Nantissements</t>
  </si>
  <si>
    <t>Gages/</t>
  </si>
  <si>
    <t>Autres</t>
  </si>
  <si>
    <t>Emprunts et dettes financières diverses :</t>
  </si>
  <si>
    <t>Emprunts obligataires</t>
  </si>
  <si>
    <t>Emprunts et dettes des établissements de crédit</t>
  </si>
  <si>
    <t>Autres dettes financières</t>
  </si>
  <si>
    <t>SOUS TOTAL  (1)</t>
  </si>
  <si>
    <t>Dettes de location-acquisition :</t>
  </si>
  <si>
    <t>Dettes de crédit-bail immobilier</t>
  </si>
  <si>
    <t>Dettes de crédit-bail mobilier</t>
  </si>
  <si>
    <t>Dettes sur contrats de location-vente</t>
  </si>
  <si>
    <t>Autres dettes sur contrats de location-acquisition</t>
  </si>
  <si>
    <t>SOUS TOTAL  (2)</t>
  </si>
  <si>
    <t>Dettes du passif circulant :</t>
  </si>
  <si>
    <t>Fournisseurs et comptes rattachés</t>
  </si>
  <si>
    <t>Adhérents, clients-usagers créditeurs</t>
  </si>
  <si>
    <t>Personnel</t>
  </si>
  <si>
    <t>Organismes</t>
  </si>
  <si>
    <t>Etat et collectivités</t>
  </si>
  <si>
    <t>Fondateurs, apporteurs et comptes rattachés</t>
  </si>
  <si>
    <t>Bailleurs, Etat et autres organismes, fonds d'administration</t>
  </si>
  <si>
    <t>Crédit divers</t>
  </si>
  <si>
    <t>SOUS TOTAL (3)</t>
  </si>
  <si>
    <t>TOTAL (1)+ (2)+ (3)</t>
  </si>
  <si>
    <t>ENGAGEMENTS FINANCIERS</t>
  </si>
  <si>
    <t>Engagements reciproques</t>
  </si>
  <si>
    <t>Engagements donnés</t>
  </si>
  <si>
    <t>Engagements reçus</t>
  </si>
  <si>
    <t>Avals, cautions, garanties</t>
  </si>
  <si>
    <t>Hypothèques, nantissement, gages, autres</t>
  </si>
  <si>
    <t>Effets escomptés non échus</t>
  </si>
  <si>
    <t>TOTAL</t>
  </si>
  <si>
    <t>CONTRIBUTION VOLONTAIRES EN NATURE</t>
  </si>
  <si>
    <t>Ressources</t>
  </si>
  <si>
    <t>Emplois</t>
  </si>
  <si>
    <t>Dons en nature</t>
  </si>
  <si>
    <t>Secours en nature</t>
  </si>
  <si>
    <t>Mises à disposition gratuite des biens</t>
  </si>
  <si>
    <t>Prestations en nature</t>
  </si>
  <si>
    <t>Personnel bénévole</t>
  </si>
  <si>
    <t>Commentaire :</t>
  </si>
  <si>
    <t xml:space="preserve">        •           Indiquer la raison d'être des sûretés   </t>
  </si>
  <si>
    <t xml:space="preserve">        •           Pour les contributions volontaires, faites une évaluation à la valeur actuelle.</t>
  </si>
  <si>
    <t>A - IDENTITE, ORGANISATION</t>
  </si>
  <si>
    <t>L'entité doit</t>
  </si>
  <si>
    <t xml:space="preserve"> - décrire brièvement l'identité de l'entité (date de création, nature du projet associatif, activité ou mission réaliséé)</t>
  </si>
  <si>
    <t xml:space="preserve"> - décrire brièvement l'organisation de l'entité avec des données chiffrées (effectifs, nombre de bénévoles, total des revenus, moyens utilisés)</t>
  </si>
  <si>
    <t>B- DECLARATION DE CONFORMITE AU SYSTÈME COMPTABLE DES ENTITÉS Á BUT NON LUCRATIF ET FAITS MARQUANTS DE L'EXERCICE</t>
  </si>
  <si>
    <t>Les états financiers ont été confectionnés  dans le respect des conventions,des postulats et des règles d'évaluation édictés par le SYCEBNL et l'Acte Uniforme.</t>
  </si>
  <si>
    <t>C- REGLES, METHODES COMPTABLES ET DEROGATION AUX PRINCIPES COMPTABLES</t>
  </si>
  <si>
    <t>Respect de tous les postulats et conventions comptables sans aucune dérogation</t>
  </si>
  <si>
    <t>D- INFORMATIONS COMPLEMENTAIRES RELATIVES AU BILAN, AU COMPTE DE RESULTAT ET AU TABLEAU DES FLUX DE TRESORERIE</t>
  </si>
  <si>
    <t xml:space="preserve">Commentaire :  </t>
  </si>
  <si>
    <r>
      <t xml:space="preserve">●        </t>
    </r>
    <r>
      <rPr>
        <i/>
        <color rgb="FF000000"/>
        <family val="1"/>
        <sz val="10"/>
        <rFont val="Times New Roman"/>
      </rPr>
      <t xml:space="preserve"> Décrire brièvement l'identité et l'organisation de l'entité ;</t>
    </r>
  </si>
  <si>
    <r>
      <t xml:space="preserve">●       </t>
    </r>
    <r>
      <rPr>
        <i/>
        <color rgb="FF000000"/>
        <family val="1"/>
        <sz val="10"/>
        <rFont val="Times New Roman"/>
      </rPr>
      <t xml:space="preserve">Mentionner les faits marquants de l'exercice, </t>
    </r>
    <r>
      <rPr>
        <i/>
        <color rgb="FF0D0D0D"/>
        <family val="1"/>
        <sz val="10"/>
        <rFont val="Times New Roman"/>
      </rPr>
      <t>les subventions ayant fait l’objet d’une restitution doivent être mentionnées dans cette rubrique ap</t>
    </r>
    <r>
      <rPr>
        <i/>
        <color rgb="FF000000"/>
        <family val="1"/>
        <sz val="10"/>
        <rFont val="Times New Roman"/>
      </rPr>
      <t>rès la déclaration de conformité ;</t>
    </r>
  </si>
  <si>
    <r>
      <t xml:space="preserve">●       </t>
    </r>
    <r>
      <rPr>
        <i/>
        <color rgb="FF000000"/>
        <family val="1"/>
        <sz val="10"/>
        <rFont val="Times New Roman"/>
      </rPr>
      <t>Seuls les éléments ayant une incidence comptable significative ou qui nuisent à la comparabilité des exercices doivent  être mentionnés (par exemples : des modifications significatives concernant une convention avec un bailleur, la création ou la suppression d’une nouvelle activité de l’entité…) ;</t>
    </r>
  </si>
  <si>
    <r>
      <t xml:space="preserve">●        </t>
    </r>
    <r>
      <rPr>
        <i/>
        <color rgb="FF000000"/>
        <family val="1"/>
        <sz val="10"/>
        <rFont val="Times New Roman"/>
      </rPr>
      <t>Décrire les règles et méthodes utilisées pour l'établissement des états financiers.</t>
    </r>
  </si>
  <si>
    <t>Date d'arrêté des états financiers: …………31/12/2025……………………….</t>
  </si>
  <si>
    <t>Organe ayant autorisé la publication des comptes : …………………………………………….</t>
  </si>
  <si>
    <t>A- EVENEMENTS POSTERIEURS A LA DATE DE CLOTURE DONNANT LIEU A DES AJUSTEMENTS DES ETATS FINANCIERS</t>
  </si>
  <si>
    <r>
      <t xml:space="preserve">      </t>
    </r>
    <r>
      <rPr>
        <b/>
        <color theme="1"/>
        <family val="1"/>
        <sz val="11"/>
        <rFont val="Times New Roman"/>
      </rPr>
      <t>Commentaire :</t>
    </r>
  </si>
  <si>
    <t>Indiquer la nature des événemebts postérieurs à la clôture donnant lieu à des ajustements des états financiers</t>
  </si>
  <si>
    <t>Pour chaque événements, donnez des précisions sur les comptes qui ont fait l'objet d'un ajustement.</t>
  </si>
  <si>
    <r>
      <t xml:space="preserve"> </t>
    </r>
    <r>
      <rPr>
        <b/>
        <color theme="1"/>
        <family val="1"/>
        <sz val="11"/>
        <rFont val="Times New Roman"/>
      </rPr>
      <t xml:space="preserve"> B- EVENEMENTS POSTERIEURS A LA DATE DE CLOTURE NE DONNANT PAS LIEU A DES AJUSTEMENTS DES ETATS FINANCIERS</t>
    </r>
  </si>
  <si>
    <r>
      <t xml:space="preserve">     </t>
    </r>
    <r>
      <rPr>
        <b/>
        <color theme="1"/>
        <family val="1"/>
        <sz val="11"/>
        <rFont val="Times New Roman"/>
      </rPr>
      <t xml:space="preserve"> Commentaire :</t>
    </r>
  </si>
  <si>
    <t>Procéder à une estimation de l'impact financier de chaque événement ou l'indication que cette estimation ne peut être fournie.</t>
  </si>
  <si>
    <t>C-EVENEMENTS REMETTANT EN CAUSE L'HYPOTHESE DE BASE DE CONTINUITE DE L'EXPLOITATION</t>
  </si>
  <si>
    <t>Commentaire:</t>
  </si>
  <si>
    <t>Indiquer la nature de l'événement(ou des événements ) ayant entrainé la remise en cause de la continuité d'exploitation</t>
  </si>
  <si>
    <t>Donner des précisions sur les valeurs liquidatives retenues</t>
  </si>
  <si>
    <t>A – CHANGEMENTS DE METHODES COMPTABLES</t>
  </si>
  <si>
    <t xml:space="preserve">1.     Changement de réglementation comptable </t>
  </si>
  <si>
    <r>
      <t>Commentaire :</t>
    </r>
    <r>
      <rPr>
        <color rgb="FF000000"/>
        <family val="1"/>
        <sz val="11"/>
        <rFont val="Times New Roman"/>
      </rPr>
      <t xml:space="preserve"> </t>
    </r>
  </si>
  <si>
    <r>
      <t>●      L’entité doit indiquer l’impact du changement de réglementation comptable (par exemple lors du passage</t>
    </r>
    <r>
      <rPr>
        <color rgb="FF0D0D0D"/>
        <family val="1"/>
        <sz val="11"/>
        <rFont val="Times New Roman"/>
      </rPr>
      <t xml:space="preserve"> au Système comptable des entités à but non lucratif </t>
    </r>
    <r>
      <rPr>
        <color theme="1"/>
        <family val="1"/>
        <sz val="11"/>
        <rFont val="Times New Roman"/>
      </rPr>
      <t xml:space="preserve">déterminé à l’ouverture en précisant les postes concernés); </t>
    </r>
  </si>
  <si>
    <t>●      L’entité doit présenter les principaux postes des exercices antérieurs présentés, retraités selon la nouvelle méthode en cas de changement de réglementation comptable appliqué de manière rétrospective ;</t>
  </si>
  <si>
    <t>●      L’entité doit indiquer l’impact du changement sur les principaux postes concernés de l’exercice en cas de changement de réglementation comptable appliqué de manière prospective.</t>
  </si>
  <si>
    <t xml:space="preserve">2.     Changement de méthode comptable à l’initiative de l’entité </t>
  </si>
  <si>
    <t>●      L’entité doit indiquer et justifier le changement de méthode comptable ;</t>
  </si>
  <si>
    <t>●      L’entité doit indiquer l’impact du changement de méthode comptable déterminé à l’ouverture en précisant les postes concernés ;</t>
  </si>
  <si>
    <t>●      L’entité doit présenter les principaux postes des exercices antérieurs présentés, retraités selon la   nouvelle méthode en cas de changement de méthode comptable appliqué de manière rétrospective ;</t>
  </si>
  <si>
    <t>●      L’entité doit indiquer les raisons d’une application prospective et l’impact du changement sur les principaux postes concernés de l’exercice en cas de changement de méthode comptable appliqué de manière prospective.</t>
  </si>
  <si>
    <t xml:space="preserve">B – CHANGEMENTS D’ESTIMATIONS </t>
  </si>
  <si>
    <r>
      <t xml:space="preserve">Commentaire : </t>
    </r>
    <r>
      <rPr>
        <color rgb="FF000000"/>
        <family val="1"/>
        <sz val="11"/>
        <rFont val="Times New Roman"/>
      </rPr>
      <t>l’entité doit indiquer et justifier le changement d’estimation.</t>
    </r>
  </si>
  <si>
    <t>C – CORRECTIONS D’ERREURS</t>
  </si>
  <si>
    <t xml:space="preserve">Commentaire : </t>
  </si>
  <si>
    <r>
      <t>●      L’entité doit indiquer la nature des erreurs corrigées (erreurs commises et découvertes sur l’exercice en cours</t>
    </r>
    <r>
      <rPr>
        <b/>
        <color rgb="FF000000"/>
        <family val="1"/>
        <sz val="11"/>
        <rFont val="Times New Roman"/>
      </rPr>
      <t xml:space="preserve"> </t>
    </r>
    <r>
      <rPr>
        <color rgb="FF000000"/>
        <family val="1"/>
        <sz val="11"/>
        <rFont val="Times New Roman"/>
      </rPr>
      <t>et erreurs d’un exercice antérieur) ;</t>
    </r>
  </si>
  <si>
    <t>●     L’entité doit présenter les principaux postes des exercices antérieurs présentés, corrigés des erreurs d’un exercice antérieur.</t>
  </si>
  <si>
    <r>
      <t xml:space="preserve">          </t>
    </r>
    <r>
      <rPr>
        <b/>
        <color theme="1"/>
        <family val="1"/>
        <sz val="11"/>
        <rFont val="Times New Roman"/>
      </rPr>
      <t xml:space="preserve"> SITUATIONS ET MOUVEMENTS</t>
    </r>
  </si>
  <si>
    <t>AUGMENTATIONS B</t>
  </si>
  <si>
    <t>DIMUNITIONS C</t>
  </si>
  <si>
    <t>D = A + B - C</t>
  </si>
  <si>
    <t>RUBRIQUES</t>
  </si>
  <si>
    <t>MONTANT BRUT A L'OUVERTURE DE L'EXERCICE</t>
  </si>
  <si>
    <t>Acquisitions Apports Créations</t>
  </si>
  <si>
    <t>Virements de poste à poste</t>
  </si>
  <si>
    <t>Suite à une réévaluation pratiquée au cours de l'exercice</t>
  </si>
  <si>
    <t>Cession Scissions Hors service</t>
  </si>
  <si>
    <t>MONTANT BRUT A LA CLOTURE DE L'EXERCICE</t>
  </si>
  <si>
    <t xml:space="preserve"> IMMOBILISATIONS INCORPORELLES</t>
  </si>
  <si>
    <t>Usufruit</t>
  </si>
  <si>
    <t>Brevets, licences, et droits similaires</t>
  </si>
  <si>
    <t>Autres immobilisations incorporels</t>
  </si>
  <si>
    <t xml:space="preserve">Bâtiments </t>
  </si>
  <si>
    <t>Matériels et mobiliers</t>
  </si>
  <si>
    <t xml:space="preserve"> IMMOBILISATIONS FINANCIERES</t>
  </si>
  <si>
    <t>Titres de participations</t>
  </si>
  <si>
    <r>
      <t xml:space="preserve"> </t>
    </r>
    <r>
      <rPr>
        <b/>
        <color theme="1"/>
        <family val="1"/>
        <sz val="10"/>
        <rFont val="Times New Roman"/>
      </rPr>
      <t>Commentaires :</t>
    </r>
  </si>
  <si>
    <t>Au titre de l'exercice 2025, BTP a acquis un ordinateur HP dans le cadre du fonctionnement de l'association</t>
  </si>
  <si>
    <t>SITUATIONS ET MOUVEMENTS</t>
  </si>
  <si>
    <t>AUGEMENTATIONS B</t>
  </si>
  <si>
    <t>DIMINUTIONS C</t>
  </si>
  <si>
    <t>D=A+B-C</t>
  </si>
  <si>
    <t>Acquisitions Apports créations</t>
  </si>
  <si>
    <t>Cessions Scissions Hors service</t>
  </si>
  <si>
    <t>IMMOBILISATIONS INCORPORELLES</t>
  </si>
  <si>
    <t>Brets, liences,et droits similiaires</t>
  </si>
  <si>
    <t>Logiciels et sites internet</t>
  </si>
  <si>
    <t>Avances et acomptes sur immobilisations incorporelles</t>
  </si>
  <si>
    <t>Terrains hors immeuble de placement</t>
  </si>
  <si>
    <t>Terrains-immeuble de placement</t>
  </si>
  <si>
    <t>Batiments hors immeuble de placement</t>
  </si>
  <si>
    <t>Batiments  immeuble de placement</t>
  </si>
  <si>
    <t>Aménagements,agencements et installations</t>
  </si>
  <si>
    <t>Matériel,mobilier et actifs biologiques</t>
  </si>
  <si>
    <t>Matériel de transport</t>
  </si>
  <si>
    <t>Avances et acomptes sur immobilisations corporelles</t>
  </si>
  <si>
    <t>Titres de participation</t>
  </si>
  <si>
    <t>COMMENTAIRE:</t>
  </si>
  <si>
    <t xml:space="preserve">  </t>
  </si>
  <si>
    <t>NATURE DU CONTRAT ( I ; M ; A)  [¹]</t>
  </si>
  <si>
    <t>Matériels de transport</t>
  </si>
  <si>
    <t xml:space="preserve"> TOTAL IMMOBILISATIONS EN LOCATION-ACQUISITION</t>
  </si>
  <si>
    <r>
      <t xml:space="preserve"> </t>
    </r>
    <r>
      <rPr>
        <i/>
        <color theme="1"/>
        <family val="1"/>
        <sz val="10"/>
        <rFont val="Times New Roman"/>
      </rPr>
      <t>[¹]: Crédit-bail immobilier; M: Crédit bail mobilier; A: Autres contrats (dédoubler le poste si montant significatifs)</t>
    </r>
  </si>
  <si>
    <r>
      <rPr>
        <b/>
        <i/>
        <color theme="1"/>
        <family val="1"/>
        <sz val="10"/>
        <rFont val="Times New Roman"/>
      </rPr>
      <t>COMMENTAIRE:</t>
    </r>
    <r>
      <rPr>
        <i/>
        <color theme="1"/>
        <family val="1"/>
        <sz val="10"/>
        <rFont val="Times New Roman"/>
      </rPr>
      <t xml:space="preserve"> indiquer la nature du bien, le nom du bailleur et la durée du bail.</t>
    </r>
  </si>
  <si>
    <t>E=A+B-C-D</t>
  </si>
  <si>
    <t>Amortissements et dépréciations cumulés à l'ouverture de l'exercice</t>
  </si>
  <si>
    <t>Augmentations:Dotations de l'exercice</t>
  </si>
  <si>
    <t>Dimunitions :</t>
  </si>
  <si>
    <t>Virement de poste à poste</t>
  </si>
  <si>
    <t>Cumuls des amortissements et dépréciations à la cloture de l' exercice</t>
  </si>
  <si>
    <t>Amortissements et dépréciations relatifs aux éléments sortis de l'actif</t>
  </si>
  <si>
    <t>Reprises amortissements et dépréciations</t>
  </si>
  <si>
    <t>Brevets,liences, logiciels,et similaires</t>
  </si>
  <si>
    <t xml:space="preserve"> SOUS TOTAL:IMMOBILISATIONS INCORPORELLES</t>
  </si>
  <si>
    <t>Matériel,mobilier</t>
  </si>
  <si>
    <t>SOUS TOTAL:IMMOBILISATIONS CORPORELLES</t>
  </si>
  <si>
    <t xml:space="preserve">           SITUATIONS ET MOUVEMENTS</t>
  </si>
  <si>
    <t>E= A+ B - C-D</t>
  </si>
  <si>
    <t>Amortissements cumulés à l'ouverture de l'exercice</t>
  </si>
  <si>
    <t>Augmentation: Dotations de l'exercice</t>
  </si>
  <si>
    <t>Diminutions:</t>
  </si>
  <si>
    <t>Cumuls des amortissements à la cloture de l'exercice</t>
  </si>
  <si>
    <t>Amortissements relatifs aux élements sortis de l'actif</t>
  </si>
  <si>
    <t>Reprises amortissements</t>
  </si>
  <si>
    <t>SOUS TOTAL: IMMOBILISATIONS INCORPORELLES</t>
  </si>
  <si>
    <t>Terrains-immeuble de placements</t>
  </si>
  <si>
    <t>Bâtiments hors immeubles de placement</t>
  </si>
  <si>
    <t>Bâtiments immeubles de placement</t>
  </si>
  <si>
    <t>Aménagements, agencements et installations</t>
  </si>
  <si>
    <t>Matériels, mobilier et actifs biologiques</t>
  </si>
  <si>
    <t>SOUS TOTAL: IMMOBILISATIONS CORPORELLES</t>
  </si>
  <si>
    <r>
      <t xml:space="preserve">          </t>
    </r>
    <r>
      <rPr>
        <b/>
        <i/>
        <color theme="1"/>
        <family val="1"/>
        <sz val="10"/>
        <rFont val="Times New Roman"/>
      </rPr>
      <t>Commentaire: Indiquer</t>
    </r>
    <r>
      <rPr>
        <color theme="1"/>
        <family val="1"/>
        <sz val="11"/>
        <rFont val="Times New Roman"/>
      </rPr>
      <t xml:space="preserve"> ;</t>
    </r>
  </si>
  <si>
    <t>Amortissement linéaire des immobilisations au taux de 20%</t>
  </si>
  <si>
    <t>E= A+ B - C</t>
  </si>
  <si>
    <t>DEPRECIATIONS CUMULES A L'OUVERTURE DE L'EXERCICE</t>
  </si>
  <si>
    <t>AUGMENTATIONS: DOTATIONS DE L'EXERCICE</t>
  </si>
  <si>
    <t>DIMINUTIONS: REPRISES DE L'EXERCICE</t>
  </si>
  <si>
    <t>CUMUL DES DEPRECIATIONS A LA CLOTURE DE L'EXERCICE</t>
  </si>
  <si>
    <t>Avances et accomptes sur immobilisations incorporelles</t>
  </si>
  <si>
    <t>Terrains hors immeuble</t>
  </si>
  <si>
    <t>Avances et accomptes sur immobilisations corporelles</t>
  </si>
  <si>
    <t>SOUS TOTAL : IMMOBILISATION FINANCIERES</t>
  </si>
  <si>
    <t>TOTAL DES IMMOBILISATIONS DEPRECIEES</t>
  </si>
  <si>
    <r>
      <t xml:space="preserve"> </t>
    </r>
    <r>
      <rPr>
        <b/>
        <color theme="1"/>
        <family val="1"/>
        <sz val="11"/>
        <rFont val="Times New Roman"/>
      </rPr>
      <t xml:space="preserve"> Commentaire :</t>
    </r>
  </si>
  <si>
    <t xml:space="preserve">   Indiquer les événements et circonstances qui ont conduit à la dépréciation et à la reprise.</t>
  </si>
  <si>
    <t>Montant brut                A</t>
  </si>
  <si>
    <t>Amortissements pratiqués                    B</t>
  </si>
  <si>
    <t>Valeur comptable  nette           C= A - B</t>
  </si>
  <si>
    <t>Prix         de      cession          D</t>
  </si>
  <si>
    <t>Plus-value ou moins-value E = D - C</t>
  </si>
  <si>
    <t xml:space="preserve">Terrains </t>
  </si>
  <si>
    <t>Bâtiments</t>
  </si>
  <si>
    <r>
      <rPr>
        <b/>
        <i/>
        <color theme="1"/>
        <family val="1"/>
        <sz val="10"/>
        <rFont val="Times New Roman"/>
      </rPr>
      <t>Commentaire</t>
    </r>
    <r>
      <rPr>
        <i/>
        <color theme="1"/>
        <family val="1"/>
        <sz val="10"/>
        <rFont val="Times New Roman"/>
      </rPr>
      <t xml:space="preserve"> : mentionner la justification de la cession ainsi que la date d'acquisition et la date de sortie.</t>
    </r>
  </si>
  <si>
    <t>Nature et date des réévaluations:</t>
  </si>
  <si>
    <t xml:space="preserve">Eléments réévalués par postes du bilan </t>
  </si>
  <si>
    <t xml:space="preserve">Montants en couts historiques </t>
  </si>
  <si>
    <t>Montants réévalués</t>
  </si>
  <si>
    <t>Ecarts et provisions spéciales réévaluation</t>
  </si>
  <si>
    <t>Méhode de réévaluation utilsée:</t>
  </si>
  <si>
    <t>Taitement fiscal de l'écart de réévaluation et des amortissements supplémentaires :</t>
  </si>
  <si>
    <t>Montant de l'écart incorporée à la dotation:</t>
  </si>
  <si>
    <t>Année N</t>
  </si>
  <si>
    <t>Année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</si>
  <si>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</si>
  <si>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</si>
  <si>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</si>
  <si>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</si>
  <si>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</si>
  <si>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</si>
  <si>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l’Etat</t>
  </si>
  <si>
    <t xml:space="preserve">Titres immobilisés </t>
  </si>
  <si>
    <t>Dépôts et cautionnements</t>
  </si>
  <si>
    <t>Intérêts courus</t>
  </si>
  <si>
    <t>Immobilisations financières diverses</t>
  </si>
  <si>
    <t>TOTAL BRUT</t>
  </si>
  <si>
    <t>Dépréciations des titres de participation</t>
  </si>
  <si>
    <t>Dépréciations des autres immobilisations financières</t>
  </si>
  <si>
    <t xml:space="preserve">     TOTAL NET DE DEPRECIATIONS</t>
  </si>
  <si>
    <t>Commentaire :</t>
  </si>
  <si>
    <r>
      <t xml:space="preserve">·         </t>
    </r>
    <r>
      <rPr>
        <i/>
        <color theme="1"/>
        <family val="1"/>
        <sz val="10"/>
        <rFont val="Times New Roman"/>
      </rPr>
      <t xml:space="preserve">Justifier toute variation significative </t>
    </r>
  </si>
  <si>
    <r>
      <t xml:space="preserve">·         </t>
    </r>
    <r>
      <rPr>
        <i/>
        <color theme="1"/>
        <family val="1"/>
        <sz val="10"/>
        <rFont val="Times New Roman"/>
      </rPr>
      <t>Commenter toutes les créances anciennes indiquées ;</t>
    </r>
  </si>
  <si>
    <r>
      <t xml:space="preserve">·         </t>
    </r>
    <r>
      <rPr>
        <i/>
        <color theme="1"/>
        <family val="1"/>
        <sz val="10"/>
        <rFont val="Times New Roman"/>
      </rPr>
      <t>Indiquer le nombre et la date d’acquisition des actions ou des parts ;</t>
    </r>
  </si>
  <si>
    <r>
      <t xml:space="preserve">·         </t>
    </r>
    <r>
      <rPr>
        <i/>
        <color theme="1"/>
        <family val="1"/>
        <sz val="10"/>
        <rFont val="Times New Roman"/>
      </rPr>
      <t>Dépréciations : indiquer les évènements et les circonstances qui ont motivé la dépréciation ou la reprise.</t>
    </r>
  </si>
  <si>
    <t>ACTIF CIRCULANT HAO</t>
  </si>
  <si>
    <t>Variation en</t>
  </si>
  <si>
    <t>valeur</t>
  </si>
  <si>
    <t>%</t>
  </si>
  <si>
    <t>Créances sur cessions d’immobilisations</t>
  </si>
  <si>
    <t xml:space="preserve">Créances reçues par dons et legs d’immobilisations </t>
  </si>
  <si>
    <t>Autres créances hors activités ordinaires</t>
  </si>
  <si>
    <t>Dépréciations des créances HAO</t>
  </si>
  <si>
    <t>TOTAL NET DES DEPRECIATIONS</t>
  </si>
  <si>
    <r>
      <t xml:space="preserve">·        </t>
    </r>
    <r>
      <rPr>
        <i/>
        <color theme="1"/>
        <family val="1"/>
        <sz val="10"/>
        <rFont val="Times New Roman"/>
      </rPr>
      <t>Dépréciations : indiquer les évènements et les circonstances qui ont motivé la dépréciation ou la reprise.</t>
    </r>
  </si>
  <si>
    <t>DETTES CIRCULANTES HAO</t>
  </si>
  <si>
    <t>Dettes des dons et legs d’immobilisations</t>
  </si>
  <si>
    <t>Créditeurs, dons nature HAO non consommés</t>
  </si>
  <si>
    <t>Autres dettes hors activités ordinaires</t>
  </si>
  <si>
    <t>Commentaires :</t>
  </si>
  <si>
    <r>
      <t xml:space="preserve">·         </t>
    </r>
    <r>
      <rPr>
        <i/>
        <color theme="1"/>
        <family val="1"/>
        <sz val="10"/>
        <rFont val="Times New Roman"/>
      </rPr>
      <t>Indiquer la date et la nature de l’immobilisation achevée et ou cédée ;</t>
    </r>
  </si>
  <si>
    <r>
      <t xml:space="preserve">·         </t>
    </r>
    <r>
      <rPr>
        <i/>
        <color theme="1"/>
        <family val="1"/>
        <sz val="10"/>
        <rFont val="Times New Roman"/>
      </rPr>
      <t>Expliquer toute variation significative.</t>
    </r>
  </si>
  <si>
    <t>Variation de stocks en valeur absolue</t>
  </si>
  <si>
    <t>Biens et services liés à l’activité</t>
  </si>
  <si>
    <t>Marchandises, Matières premières</t>
  </si>
  <si>
    <t>Autres approvisionnements</t>
  </si>
  <si>
    <t>Produits finis</t>
  </si>
  <si>
    <t>Dons en nature HAO</t>
  </si>
  <si>
    <t>Autres stocks HAO</t>
  </si>
  <si>
    <t>TOTAL STOCKS ET ENCOURS</t>
  </si>
  <si>
    <t>Dépréciations des stocks</t>
  </si>
  <si>
    <t>(1)    Les stocks H.A.O. ne doivent être inscrits dans l'actif circulant H.A.O. que lorsque leur montant total est significatif (supérieur à 5 % du total de l'actif circulant).</t>
  </si>
  <si>
    <r>
      <t>Commentaire</t>
    </r>
    <r>
      <rPr>
        <i/>
        <color rgb="FF000000"/>
        <family val="1"/>
        <sz val="10"/>
        <rFont val="Times New Roman"/>
      </rPr>
      <t xml:space="preserve"> : </t>
    </r>
  </si>
  <si>
    <r>
      <t xml:space="preserve">●         </t>
    </r>
    <r>
      <rPr>
        <i/>
        <color rgb="FF000000"/>
        <family val="1"/>
        <sz val="10"/>
        <rFont val="Times New Roman"/>
      </rPr>
      <t>Indiquer la date de prise d'inventaire et décrire brièvement la procédure les méthodes comptables adoptées pour évaluer le stock ;</t>
    </r>
  </si>
  <si>
    <r>
      <t xml:space="preserve">●         </t>
    </r>
    <r>
      <rPr>
        <i/>
        <color rgb="FF000000"/>
        <family val="1"/>
        <sz val="10"/>
        <rFont val="Times New Roman"/>
      </rPr>
      <t>Commenter toute variation significative des stocks ;</t>
    </r>
  </si>
  <si>
    <r>
      <t xml:space="preserve">●         </t>
    </r>
    <r>
      <rPr>
        <i/>
        <color rgb="FF000000"/>
        <family val="1"/>
        <sz val="10"/>
        <rFont val="Times New Roman"/>
      </rPr>
      <t>Indiquer le détail des stocks dépréciés ainsi que les événements et les circonstances qui ont conduit à la dépréciation et à la reprise.</t>
    </r>
  </si>
  <si>
    <t>Adhérents</t>
  </si>
  <si>
    <t>Clients usagers</t>
  </si>
  <si>
    <t>Adhérents, clients-usagers, chèques, effets et autres valeurs impayés</t>
  </si>
  <si>
    <t>Adhérents, créances litigieuses ou douteuses</t>
  </si>
  <si>
    <t>Adhérents, clients-usagers, produits à recevoir</t>
  </si>
  <si>
    <t>TOTAL BRUT ADHERENTS CLIENTS-USAGERS</t>
  </si>
  <si>
    <t xml:space="preserve">Dépréciations des comptes adhérents et clients-usagers </t>
  </si>
  <si>
    <t>TOTAL NET DS DEPRECIATIONS</t>
  </si>
  <si>
    <t>Adhérents, avances reçues</t>
  </si>
  <si>
    <t>Clients-usagers, avances et acomptes reçues</t>
  </si>
  <si>
    <t>Autres clients créditeurs</t>
  </si>
  <si>
    <t>TOTAL CLIENTS CREDITEURS</t>
  </si>
  <si>
    <r>
      <t xml:space="preserve">●         </t>
    </r>
    <r>
      <rPr>
        <i/>
        <color theme="1"/>
        <family val="1"/>
        <sz val="10"/>
        <rFont val="Times New Roman"/>
      </rPr>
      <t>Commenter toute variation significative;</t>
    </r>
  </si>
  <si>
    <r>
      <t xml:space="preserve">●         </t>
    </r>
    <r>
      <rPr>
        <i/>
        <color theme="1"/>
        <family val="1"/>
        <sz val="10"/>
        <rFont val="Times New Roman"/>
      </rPr>
      <t>Commenter les créances anciennes.</t>
    </r>
  </si>
  <si>
    <r>
      <t xml:space="preserve">●         </t>
    </r>
    <r>
      <rPr>
        <i/>
        <color theme="1"/>
        <family val="1"/>
        <sz val="10"/>
        <rFont val="Times New Roman"/>
      </rPr>
      <t xml:space="preserve"> Indiquer les evenements et les circonstances qui ont conduit à la reprise.</t>
    </r>
  </si>
  <si>
    <t>Organismes sociaux</t>
  </si>
  <si>
    <t>Etat et collectivités publiques</t>
  </si>
  <si>
    <t>Fondateurs, apporteurs et comptes courants</t>
  </si>
  <si>
    <t>Débiteurs divers</t>
  </si>
  <si>
    <t>Aures débiteurs divers</t>
  </si>
  <si>
    <t>Dépréciations et autres créances</t>
  </si>
  <si>
    <t>TOTAL NET DE DEPRECIATIONS</t>
  </si>
  <si>
    <t>Commentaires:</t>
  </si>
  <si>
    <r>
      <t xml:space="preserve">●        </t>
    </r>
    <r>
      <rPr>
        <i/>
        <color theme="1"/>
        <family val="1"/>
        <sz val="10"/>
        <rFont val="Times New Roman"/>
      </rPr>
      <t>Justifier toute variation significative ;</t>
    </r>
  </si>
  <si>
    <r>
      <t xml:space="preserve">●          </t>
    </r>
    <r>
      <rPr>
        <i/>
        <color theme="1"/>
        <family val="1"/>
        <sz val="10"/>
        <rFont val="Times New Roman"/>
      </rPr>
      <t>Détailler les créances dont le montant est significatif ;</t>
    </r>
  </si>
  <si>
    <r>
      <t xml:space="preserve">●          </t>
    </r>
    <r>
      <rPr>
        <i/>
        <color theme="1"/>
        <family val="1"/>
        <sz val="10"/>
        <rFont val="Times New Roman"/>
      </rPr>
      <t>Justifier les créances anciennes ;</t>
    </r>
  </si>
  <si>
    <r>
      <t xml:space="preserve">●          </t>
    </r>
    <r>
      <rPr>
        <i/>
        <color theme="1"/>
        <family val="1"/>
        <sz val="10"/>
        <rFont val="Times New Roman"/>
      </rPr>
      <t xml:space="preserve">Indiquer les évènements et les circonstances qui ont conduit à la dépréciation et à la reprise. </t>
    </r>
  </si>
  <si>
    <t>AnnéeN-1</t>
  </si>
  <si>
    <t>Titres de trésor et bons de caisse à court terme</t>
  </si>
  <si>
    <t>Actions</t>
  </si>
  <si>
    <t>Obligations</t>
  </si>
  <si>
    <t>Bons de souscription</t>
  </si>
  <si>
    <t>Titres négociables hors régions</t>
  </si>
  <si>
    <t>Intérets courus</t>
  </si>
  <si>
    <t>Autres valeurs assimilés</t>
  </si>
  <si>
    <t>Dépréciations des titres de placement</t>
  </si>
  <si>
    <t>•    Justifier toute variation significative</t>
  </si>
  <si>
    <t xml:space="preserve">•   Pour les titres côtés à une bourse de valeur : indiquer le nombre, le prix unitaire d'acquisition et le cours en bourse au 31 décembre </t>
  </si>
  <si>
    <t>•   Faire resssortir les actions ou les parts propres et indiquer la date d'acquisition , le nombre de titres détenues</t>
  </si>
  <si>
    <t>•   Indiquer les évenementd et circinstances qui ont conduit à la dérécation des reprises</t>
  </si>
  <si>
    <t>Chèques à encaisser</t>
  </si>
  <si>
    <t>Chèques à l'encaissement</t>
  </si>
  <si>
    <t>Cartes de crédit à encaisser</t>
  </si>
  <si>
    <t>Autres valeurs à encaisser</t>
  </si>
  <si>
    <t>Dépréciations des valeurs à encaisser</t>
  </si>
  <si>
    <t>• Commenter toute variation significative;</t>
  </si>
  <si>
    <t>• Indiquer les évènements et les circonstances qui ont conduit à la dépréciation et à la reprise.</t>
  </si>
  <si>
    <t>Banques locales</t>
  </si>
  <si>
    <t>Banques autres états région</t>
  </si>
  <si>
    <t>Banques, dépôts à terme</t>
  </si>
  <si>
    <t>Autres Banques</t>
  </si>
  <si>
    <t>Banques intérêts courus</t>
  </si>
  <si>
    <t>Banques Postales</t>
  </si>
  <si>
    <t>Autres établissements financiers</t>
  </si>
  <si>
    <t>Etablissement financiers intérêts courus</t>
  </si>
  <si>
    <t>Instruments de monnaie électronique</t>
  </si>
  <si>
    <t>Caisse</t>
  </si>
  <si>
    <t>Dépréciations</t>
  </si>
  <si>
    <r>
      <rPr>
        <color theme="1"/>
        <family val="1"/>
        <sz val="10"/>
        <rFont val="Times New Roman"/>
      </rPr>
      <t xml:space="preserve">     •</t>
    </r>
    <r>
      <rPr>
        <i/>
        <color theme="1"/>
        <family val="1"/>
        <sz val="10"/>
        <rFont val="Times New Roman"/>
      </rPr>
      <t xml:space="preserve">           </t>
    </r>
    <r>
      <rPr>
        <color theme="1"/>
        <family val="1"/>
        <sz val="10"/>
        <rFont val="Times New Roman"/>
      </rPr>
      <t>Le dernier raprrochement à eu lieu en janvier 2026</t>
    </r>
  </si>
  <si>
    <r>
      <t xml:space="preserve">     •         </t>
    </r>
    <r>
      <rPr>
        <color theme="1"/>
        <family val="1"/>
        <sz val="10"/>
        <rFont val="Times New Roman"/>
      </rPr>
      <t>Le BTP a deux comptes bancaires: un compte compte principal et un sous compte à BSIC Bank</t>
    </r>
  </si>
  <si>
    <r>
      <t xml:space="preserve">              </t>
    </r>
    <r>
      <rPr>
        <color theme="1"/>
        <family val="1"/>
        <sz val="10"/>
        <rFont val="Times New Roman"/>
      </rPr>
      <t xml:space="preserve"> Le solde du compte principal est de 98 359 735FCFA et cului du sous compte est de 15 640FCFA</t>
    </r>
  </si>
  <si>
    <t>NB: Banques et intérêts courus et établissements financiers intérêts coursus figurent dans cette rubrique en négatif si le compte principal attaché est débiteur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</si>
  <si>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</si>
  <si>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</si>
  <si>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</si>
  <si>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</si>
  <si>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</si>
  <si>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conversion-actif : </t>
    </r>
    <r>
      <rPr>
        <i/>
        <color theme="1"/>
        <family val="1"/>
        <sz val="11"/>
        <rFont val="Times New Roman"/>
      </rPr>
      <t xml:space="preserve">détailler les créances et dettes concernées </t>
    </r>
    <r>
      <rPr>
        <color theme="1"/>
        <family val="1"/>
        <sz val="11"/>
        <rFont val="Times New Roman"/>
      </rPr>
      <t xml:space="preserve">                     </t>
    </r>
  </si>
  <si>
    <r>
      <t xml:space="preserve">Ecarts de conversion-Passif: </t>
    </r>
    <r>
      <rPr>
        <i/>
        <color theme="1"/>
        <family val="1"/>
        <sz val="11"/>
        <rFont val="Times New Roman"/>
      </rPr>
      <t xml:space="preserve">détailler les créances et dettes concernées   </t>
    </r>
    <r>
      <rPr>
        <color theme="1"/>
        <family val="1"/>
        <sz val="11"/>
        <rFont val="Times New Roman"/>
      </rPr>
      <t xml:space="preserve">                   </t>
    </r>
  </si>
  <si>
    <r>
      <rPr>
        <b/>
        <i/>
        <color theme="1"/>
        <family val="1"/>
        <sz val="10"/>
        <rFont val="Times New Roman"/>
      </rPr>
      <t>UML</t>
    </r>
    <r>
      <rPr>
        <i/>
        <color theme="1"/>
        <family val="1"/>
        <sz val="10"/>
        <rFont val="Times New Roman"/>
      </rPr>
      <t xml:space="preserve"> : Unités Monétaires légales</t>
    </r>
  </si>
  <si>
    <t xml:space="preserve">Commentaire : </t>
  </si>
  <si>
    <t>Faire un commentaire</t>
  </si>
  <si>
    <t>Nom et prénoms des membres</t>
  </si>
  <si>
    <t>Nationalité</t>
  </si>
  <si>
    <t>Montant</t>
  </si>
  <si>
    <t>Préciser avec ou sans droit de reprise</t>
  </si>
  <si>
    <t>Dotation non consomptible</t>
  </si>
  <si>
    <t>Valeur</t>
  </si>
  <si>
    <t>Réserves statutaires ou contractuelles</t>
  </si>
  <si>
    <t>Autres réserves</t>
  </si>
  <si>
    <t>TOTAL RESERVES</t>
  </si>
  <si>
    <t>Report à nouveau</t>
  </si>
  <si>
    <t>Le report a nouveau a été dimunier de 229 000 FCFA representant  le solde des fonds de l'année 2023 envoyé au CVO mais qui n'était pas pris encompte dans les état de 2024 ( ecart entre le point CVO au 31/12/2024 et 30/09/2024)</t>
  </si>
  <si>
    <t xml:space="preserve">Le resultat net de l'année 2024 d' un montant de 31 717 405FCFA à été affecté dans le repport à nouveau </t>
  </si>
  <si>
    <t>Régime fiscal</t>
  </si>
  <si>
    <t>Échéances</t>
  </si>
  <si>
    <t>Etat</t>
  </si>
  <si>
    <t>Région</t>
  </si>
  <si>
    <t>Département</t>
  </si>
  <si>
    <t>Communes et collectivités publiques décentralisées</t>
  </si>
  <si>
    <t>Entités publiques ou mixtes</t>
  </si>
  <si>
    <t>Entités et organismes privés</t>
  </si>
  <si>
    <t>Organismes internationaux</t>
  </si>
  <si>
    <t>Autres subventions d'investissements</t>
  </si>
  <si>
    <t>TOTAL SUBVENTIONS</t>
  </si>
  <si>
    <t>PROVISIONS REGLEMENTEES</t>
  </si>
  <si>
    <t>TOTAL SUBVENTIONS ET PROVISIONS REGLEMENTEES</t>
  </si>
  <si>
    <t xml:space="preserve">     •   Indiquer pour la subvention la date d'octroi, la nature, les obligations éventuelles ;</t>
  </si>
  <si>
    <t xml:space="preserve">     •   Pour les provisions réglementées, indiquer le texte de référence, les obligations ;</t>
  </si>
  <si>
    <t xml:space="preserve">     •   Commenter toute variation significative.</t>
  </si>
  <si>
    <t>Fonds affectés aux investissements</t>
  </si>
  <si>
    <t>Fonds non consommés en fin d'exercice destinés à un projet spécifique</t>
  </si>
  <si>
    <t>Fonds provenant des dons et legs d'immobilisations</t>
  </si>
  <si>
    <t>Autres fonds affectés</t>
  </si>
  <si>
    <t>TOTAL FONDS AFFECTES</t>
  </si>
  <si>
    <t>Donations et legs non encore reçus d'immobilisation destinés à la vente</t>
  </si>
  <si>
    <t>Donation temporaire d'usufruit</t>
  </si>
  <si>
    <t>Autres fonds reportés</t>
  </si>
  <si>
    <t>TOTAL FONDS REPORTES</t>
  </si>
  <si>
    <t xml:space="preserve">        •    Indiquer la date d'affectation des fonds aux investissements et leur mode de reprise ;</t>
  </si>
  <si>
    <t xml:space="preserve">        •    Indiquer la date de la donation et des legs d'immobilisations ainsi que la nature de leur montant ;</t>
  </si>
  <si>
    <t xml:space="preserve">        •    Indiquer la date de l'acte juridique de la donation et du legs non encore reçus des immobilisations destinées à la  </t>
  </si>
  <si>
    <t xml:space="preserve">             vente ;</t>
  </si>
  <si>
    <t xml:space="preserve">        •    Indiquer la date de l'acte juridique de la donation  temporaire et  la nature de l'usufruit, la durée de jouissance ;</t>
  </si>
  <si>
    <t xml:space="preserve">        •    Justifier la caracttère significatif du montant total de cette rubrique ;</t>
  </si>
  <si>
    <t xml:space="preserve">        •    Justifier le caractère significatif du montant total de cette rubrique ;</t>
  </si>
  <si>
    <t xml:space="preserve">        •    Commenter toute variation significative.</t>
  </si>
  <si>
    <t xml:space="preserve">Libellés </t>
  </si>
  <si>
    <t>Dettes à un  an au plus</t>
  </si>
  <si>
    <t>Dettes à plus d'un an et à deux ans au plus</t>
  </si>
  <si>
    <t xml:space="preserve">Dettes à plus de deux ans </t>
  </si>
  <si>
    <t xml:space="preserve">Emprunts obligataires </t>
  </si>
  <si>
    <t>Emprunts et dettes auprès des établissements de crédit</t>
  </si>
  <si>
    <t>Avances reçues de l'Etat</t>
  </si>
  <si>
    <t>Dépôts et cautionnements reçus</t>
  </si>
  <si>
    <t>Interêts courus</t>
  </si>
  <si>
    <t>Autres emprunts et dettes</t>
  </si>
  <si>
    <t>TOTAL EMPRUNTS ET DETTES FINANCIERS</t>
  </si>
  <si>
    <t>Crédit-bail immobilier</t>
  </si>
  <si>
    <t>Crédit-bail mobilier</t>
  </si>
  <si>
    <t>Location-vente</t>
  </si>
  <si>
    <t>Autres dettes de location-acquisition</t>
  </si>
  <si>
    <t>TOTAL DETTE DE LOCATION-ACQUISITION</t>
  </si>
  <si>
    <t xml:space="preserve">Provisions pour litiges </t>
  </si>
  <si>
    <t>Provisions pour charges sur donations et legs</t>
  </si>
  <si>
    <t xml:space="preserve">Provisions pour pertes de change </t>
  </si>
  <si>
    <t>Provisions pour pensions et obligations similaires</t>
  </si>
  <si>
    <t>Actif du régime de retraite (1)</t>
  </si>
  <si>
    <t>Autres provisions pour risques et charges</t>
  </si>
  <si>
    <t>TOTAL PROVISIONS FINANCIERS POUR RISQUES ET CHARGES</t>
  </si>
  <si>
    <t>(1) solde débiteur ducompte</t>
  </si>
  <si>
    <t>Commentaie :</t>
  </si>
  <si>
    <r>
      <t xml:space="preserve">        </t>
    </r>
    <r>
      <rPr>
        <color theme="1"/>
        <family val="1"/>
        <sz val="10"/>
        <rFont val="Times New Roman"/>
      </rPr>
      <t>•</t>
    </r>
    <r>
      <rPr>
        <i/>
        <color theme="1"/>
        <family val="1"/>
        <sz val="10"/>
        <rFont val="Times New Roman"/>
      </rPr>
      <t xml:space="preserve">      Pour chaque emprunt et dette de location-acquisition : mentionner la date d'octroi, le nom de l'organisme financier, le </t>
    </r>
  </si>
  <si>
    <t xml:space="preserve">                montant initial de l'emprunt ou la dette, la durée du crédit, la garantie données par l'entité;</t>
  </si>
  <si>
    <t xml:space="preserve">        •     Indiquer les évènements et circonstances qui ont conduit  à la provision et à la reprise ;</t>
  </si>
  <si>
    <t xml:space="preserve">        •     Pour les pensions et obligations de retraite, indiquer :</t>
  </si>
  <si>
    <t xml:space="preserve">        •     la méthode d'évaluation retenue ;</t>
  </si>
  <si>
    <t xml:space="preserve">        •    le nom de la compagnie d'assurance ou du fonds de pension, le descriptif de la convention </t>
  </si>
  <si>
    <t xml:space="preserve">             signée avec l'organisme, la périodicité des versements, le montant et la durée de la convention,</t>
  </si>
  <si>
    <t xml:space="preserve">            pour les actifs du régime.</t>
  </si>
  <si>
    <t>Actif éventuel</t>
  </si>
  <si>
    <t>Litiges</t>
  </si>
  <si>
    <t>…............</t>
  </si>
  <si>
    <t>Passif éventuel</t>
  </si>
  <si>
    <t>Décrire les principales caractéristiques des actifs/ passifs éventuels, l'horison de temps auquel les encaissements /</t>
  </si>
  <si>
    <t>décaissements sont attendus et les éventuls remboursements à percevoir.</t>
  </si>
  <si>
    <t>Dettes à plus de deux ans</t>
  </si>
  <si>
    <t>Fournisseurs, dettes en compte</t>
  </si>
  <si>
    <t>Fournisseurs, réserve de propriété</t>
  </si>
  <si>
    <t>Fournisseurs, retenue de garantie</t>
  </si>
  <si>
    <t>Fournisseurs effets à payer</t>
  </si>
  <si>
    <t>Fournisseurs factures non parvenues</t>
  </si>
  <si>
    <t>TOTAL FOURNISSEURS</t>
  </si>
  <si>
    <t>Fournisseurs, avances et acomptes</t>
  </si>
  <si>
    <t>Fournisseurs sous-traitants, avances et acomptes</t>
  </si>
  <si>
    <t>Autres fournisseurs débiteurs</t>
  </si>
  <si>
    <t>TOTAL FOURNISSEURS DEBITEURS</t>
  </si>
  <si>
    <t xml:space="preserve">La somme de 162 000FCFA représente une partie des frais de prestations de de Marleine CHAPON de 2025  </t>
  </si>
  <si>
    <t>FNP 500 000FCFA honoraire du commissaire aux compte pour la certification des états financiers 2025</t>
  </si>
  <si>
    <t>En ce qui concerne l'exercice N-1, le montant de 577 255 inscrit au bilan est le solde net du compte fournisseur crediteur et du compte fournisseur débiteur (1 540 791 - 963 536)</t>
  </si>
  <si>
    <t>Dettes à un an au plus</t>
  </si>
  <si>
    <t>Personnel, rénumérations dues</t>
  </si>
  <si>
    <t>Personnel, congés à payer</t>
  </si>
  <si>
    <t>Charges sociales sur congés à payer</t>
  </si>
  <si>
    <t>Autres personnel</t>
  </si>
  <si>
    <t xml:space="preserve"> Caisse de Sécurité Sociale</t>
  </si>
  <si>
    <t>Caisse de retraite</t>
  </si>
  <si>
    <t>Mutuelle de santé</t>
  </si>
  <si>
    <t>Assurance retraite</t>
  </si>
  <si>
    <t>Autres charges sociales à payer</t>
  </si>
  <si>
    <t>Autres cotisations et organismes sociaux</t>
  </si>
  <si>
    <t>TOTAL DETTES SOCIALES</t>
  </si>
  <si>
    <t>Etat, autres impôts et taxes</t>
  </si>
  <si>
    <t>Etat, TVA</t>
  </si>
  <si>
    <t>Etat, impôts retenus à la source</t>
  </si>
  <si>
    <t>Autres dettes Etat</t>
  </si>
  <si>
    <t>TOTAL DETTES FISCALES</t>
  </si>
  <si>
    <t xml:space="preserve">TOTAL DETTES SOCIALES ET FISCALES </t>
  </si>
  <si>
    <t xml:space="preserve">        •           Commenter toute variation significative</t>
  </si>
  <si>
    <t xml:space="preserve">        •           Commenter les dettes anciennes</t>
  </si>
  <si>
    <t>Fonds d'administration de projets</t>
  </si>
  <si>
    <t>Bailleurs de fonds</t>
  </si>
  <si>
    <t>Autres organismes de financement assimiles</t>
  </si>
  <si>
    <t>TOTAL BAILLEURS FONDS D’ADMINISTATION</t>
  </si>
  <si>
    <t>Créditeurs divers</t>
  </si>
  <si>
    <t>Créditeurs, dons en nature courants non consommées</t>
  </si>
  <si>
    <t>Versements restants à effectuer sur titres de placement non libérés</t>
  </si>
  <si>
    <t>Générosités financières à recevoir</t>
  </si>
  <si>
    <t>Autres créditeurs divers</t>
  </si>
  <si>
    <t>TOTAL CREDITEURS DIVERS</t>
  </si>
  <si>
    <t>TOTAL AUTRES DETTES</t>
  </si>
  <si>
    <t>Provision pour risques et charges à court terme (voir note 30)</t>
  </si>
  <si>
    <r>
      <rPr>
        <color theme="1"/>
        <family val="1"/>
        <sz val="10"/>
        <rFont val="Times New Roman"/>
      </rPr>
      <t xml:space="preserve">          •</t>
    </r>
    <r>
      <rPr>
        <i/>
        <color theme="1"/>
        <family val="1"/>
        <sz val="10"/>
        <rFont val="Times New Roman"/>
      </rPr>
      <t xml:space="preserve">        De toute variation significative ;</t>
    </r>
  </si>
  <si>
    <t xml:space="preserve">          •         Indiquer le taux de rémunération si compte courant rémunéré ;</t>
  </si>
  <si>
    <t xml:space="preserve">          •         Des dettes anciennes.</t>
  </si>
  <si>
    <t>Banque, autres états et région</t>
  </si>
  <si>
    <t>Autres banques</t>
  </si>
  <si>
    <t xml:space="preserve">Banques ; intérêts courus </t>
  </si>
  <si>
    <t>Crédits de trésorerie</t>
  </si>
  <si>
    <t>TOTAL : BANQUES, CREDITS DE TRESORERIE</t>
  </si>
  <si>
    <r>
      <t xml:space="preserve">•         </t>
    </r>
    <r>
      <rPr>
        <i/>
        <color theme="1"/>
        <family val="1"/>
        <sz val="10"/>
        <rFont val="Times New Roman"/>
      </rPr>
      <t>Commenter toute variation significative</t>
    </r>
  </si>
  <si>
    <r>
      <t xml:space="preserve">•          </t>
    </r>
    <r>
      <rPr>
        <i/>
        <color theme="1"/>
        <family val="1"/>
        <sz val="10"/>
        <rFont val="Times New Roman"/>
      </rPr>
      <t>Indiquer le nom de l’organisme, les conditions de crédit, taux d’intérêts, la durée de crédit</t>
    </r>
  </si>
  <si>
    <t>NB : -‘’Banques et intérêts courus’’ figure dans cette rubrique si le compte principal attaché est créditeur</t>
  </si>
  <si>
    <t>Cotisations des adhérents</t>
  </si>
  <si>
    <t>Quote-part de la dotation consomptible transférée</t>
  </si>
  <si>
    <t>Ventes de marchandises, services et produits finis</t>
  </si>
  <si>
    <t xml:space="preserve">Revenus des manifestations </t>
  </si>
  <si>
    <t>Autres revenus</t>
  </si>
  <si>
    <t>TOTAL : REVENUS</t>
  </si>
  <si>
    <t>Subventions d’exploitation</t>
  </si>
  <si>
    <t xml:space="preserve">Autres produits et transferts de charges d’exploitation </t>
  </si>
  <si>
    <t>TOTAL : SUBVENTIONS D’EXPLOITATION ET AUTRES PRODUITS</t>
  </si>
  <si>
    <t xml:space="preserve">TOTAL </t>
  </si>
  <si>
    <t>La somme de 112 035 596FCFA repreésente le montant des subventions reçu des partenaires BTP au titre de l'année</t>
  </si>
  <si>
    <t>La somme de 12 791 669FCFA représente le montant des cotisations annuelle des membres de BTP</t>
  </si>
  <si>
    <t>Achats de biens et services liés à l’activité dans l’Etat partie</t>
  </si>
  <si>
    <t>Achats de biens et services liés à l’activité dans les autres Etats parties de la Région</t>
  </si>
  <si>
    <t>Achats de biens et de services liés à l’activité hors Région</t>
  </si>
  <si>
    <t>TOTAL : ACHATS DE BIENS ET DE SERVICES LIES A L’ACTIVITE</t>
  </si>
  <si>
    <t>Achats de marchandises et matières premières dans l’Etat partie</t>
  </si>
  <si>
    <t>Achats de marchandises et matières premières dans les autres Etats parties de la Région</t>
  </si>
  <si>
    <t>Achats de marchandises et matières premières hors Région</t>
  </si>
  <si>
    <t xml:space="preserve">TOTAL : ACHATS DE MARCHANDISES ET MATIERES PREMIERES </t>
  </si>
  <si>
    <t xml:space="preserve">Matières consommables </t>
  </si>
  <si>
    <t>Matières combustibles</t>
  </si>
  <si>
    <t>Produits d’entretien</t>
  </si>
  <si>
    <t>Fournitures d’atelier, usine et de magasin</t>
  </si>
  <si>
    <t>Eau</t>
  </si>
  <si>
    <t>Electricité</t>
  </si>
  <si>
    <t>Autres Energies</t>
  </si>
  <si>
    <t>Fournitures d’entretien</t>
  </si>
  <si>
    <t>Fournitures de bureau</t>
  </si>
  <si>
    <t>Petit matériel et outillages</t>
  </si>
  <si>
    <t>Achats autres activités</t>
  </si>
  <si>
    <t xml:space="preserve">Achats études ; prestations et services, de travaux matériels et équipements </t>
  </si>
  <si>
    <t>Achats d’emballages</t>
  </si>
  <si>
    <t>Frais sur achats</t>
  </si>
  <si>
    <t>Rabais, remises et ristournes obtenus</t>
  </si>
  <si>
    <t>TOTAL AUTRES ACHATS</t>
  </si>
  <si>
    <t>Commentaires</t>
  </si>
  <si>
    <t>Les autres achats et les achat represente le montant des depenses liée à l'activité</t>
  </si>
  <si>
    <t xml:space="preserve">Varriation en </t>
  </si>
  <si>
    <t>Transports sur ventes</t>
  </si>
  <si>
    <t xml:space="preserve">Transports pour le compte de tiers </t>
  </si>
  <si>
    <t>Transports du personnel</t>
  </si>
  <si>
    <t xml:space="preserve">Transports de plis </t>
  </si>
  <si>
    <t>Voyages et déplacements</t>
  </si>
  <si>
    <t>Transports administratifs</t>
  </si>
  <si>
    <t>le solde de ce compte represente le montant des billets d'avions pour le deplacement  des membres du BTP pour le meet up 2025 mobilisé par l'association</t>
  </si>
  <si>
    <t>Sous-traitance générale</t>
  </si>
  <si>
    <t>Locations et charges locatives</t>
  </si>
  <si>
    <t>Redevances de location-acquisition</t>
  </si>
  <si>
    <t>Entretien, reparations et maintenance</t>
  </si>
  <si>
    <t>Primes d'assurance</t>
  </si>
  <si>
    <t>Etudes, recherches et documentations</t>
  </si>
  <si>
    <t>Publicités, publications, relations publiques</t>
  </si>
  <si>
    <t>Frais de télécommunications</t>
  </si>
  <si>
    <t>Frais bancaires</t>
  </si>
  <si>
    <t>Rémunérations d'intermediaires et de conseils</t>
  </si>
  <si>
    <t>Frais de formation du personnel</t>
  </si>
  <si>
    <t>Redevances pour brevets, licences, logiciels, concessions et droits similaires</t>
  </si>
  <si>
    <t>Cotisations</t>
  </si>
  <si>
    <t>Frais de recherche de fonds</t>
  </si>
  <si>
    <t>Rémunérations de personnel extérieurs à l'entité</t>
  </si>
  <si>
    <t>Aures charges externes</t>
  </si>
  <si>
    <t>le sode de ce compte represente les differentes prestations dans le cadre de l'organisation du Meet up 2025 et la rémunération de la Deleguée Génerale au titre de l'année 2025</t>
  </si>
  <si>
    <t>Impôts et taxes directs</t>
  </si>
  <si>
    <t>Impôts et taxes indirects</t>
  </si>
  <si>
    <t>Droit d'enregistrement</t>
  </si>
  <si>
    <t>Pénalités et amendes fiscales</t>
  </si>
  <si>
    <t>Autres impôts et taxes</t>
  </si>
  <si>
    <t>Dégrèvements et annulations des et taxes ⁽¹⁾</t>
  </si>
  <si>
    <t>(1) : Ce compte a un solde créditeur, son montant doit être précédé d'un signe (-)</t>
  </si>
  <si>
    <t xml:space="preserve">          •    Commenter toute variation significative ;
</t>
  </si>
  <si>
    <t xml:space="preserve">          •    Détailler les pénalités, les amendes et indiquer la cause.</t>
  </si>
  <si>
    <t>Pertes sur créances adhérents</t>
  </si>
  <si>
    <t>Pertes sur Clients et autres débiteurs</t>
  </si>
  <si>
    <t>Subventions versées par l'entité</t>
  </si>
  <si>
    <t>Dons en nature courants à distribuer</t>
  </si>
  <si>
    <t xml:space="preserve">Pénalités et amendes pénales </t>
  </si>
  <si>
    <t>Autres charges diverses</t>
  </si>
  <si>
    <t>Charges pour dépréciations et provisions pour risques à court terme d'exploitation (voir note 30)</t>
  </si>
  <si>
    <r>
      <t>Commentaire</t>
    </r>
    <r>
      <rPr>
        <i/>
        <color rgb="FF000000"/>
        <family val="1"/>
        <sz val="10"/>
        <rFont val="Times New Roman"/>
      </rPr>
      <t xml:space="preserve">: </t>
    </r>
  </si>
  <si>
    <t>le solde de ce compte represente les activité du comité impact en 2025 avec BENIN EXCELLENCE</t>
  </si>
  <si>
    <t>Rémunérations directes versées au personnel national</t>
  </si>
  <si>
    <t>Rémunérations directes versées au personnel non national</t>
  </si>
  <si>
    <t>Indemnités forfaitaires versées au personnel</t>
  </si>
  <si>
    <t>Charges sociales (personnel national)</t>
  </si>
  <si>
    <t>Charges sociales (personnel non national)</t>
  </si>
  <si>
    <t>Habillement et équipement du personnel</t>
  </si>
  <si>
    <t>Rémunération transférée de personnel extérieur</t>
  </si>
  <si>
    <t>Autres charges sociales</t>
  </si>
  <si>
    <r>
      <t xml:space="preserve">Dégrèvements et annulation des charges sociales </t>
    </r>
    <r>
      <rPr>
        <color rgb="FF000000"/>
        <family val="1"/>
        <vertAlign val="superscript"/>
        <sz val="11"/>
        <rFont val="Times New Roman"/>
      </rPr>
      <t>(1)</t>
    </r>
  </si>
  <si>
    <t>(1) : Ce compte a un solde créditeur , son montant doit être précédé d’un signe (-)</t>
  </si>
  <si>
    <r>
      <rPr>
        <color theme="1"/>
        <family val="2"/>
        <sz val="10"/>
        <rFont val="Calibri"/>
      </rPr>
      <t>●</t>
    </r>
    <r>
      <rPr>
        <i/>
        <color theme="1"/>
        <family val="1"/>
        <sz val="10"/>
        <rFont val="Times New Roman"/>
      </rPr>
      <t xml:space="preserve">         Commenter toute variation significative ;</t>
    </r>
  </si>
  <si>
    <t>●         Indiquer la nature et la durée du contrat du personnel extérieur.</t>
  </si>
  <si>
    <t>1. Personnel propre</t>
  </si>
  <si>
    <t xml:space="preserve">EFFECTIF ET MASSE SALARIALE </t>
  </si>
  <si>
    <t>EFFECTIFS</t>
  </si>
  <si>
    <t>MASSE SALARIALE</t>
  </si>
  <si>
    <t>QUALIFICATIONS</t>
  </si>
  <si>
    <t>Nationaux</t>
  </si>
  <si>
    <t>Autres Etats de la Région</t>
  </si>
  <si>
    <t>Hors Région</t>
  </si>
  <si>
    <t>M</t>
  </si>
  <si>
    <t>F</t>
  </si>
  <si>
    <t>YA</t>
  </si>
  <si>
    <t>1.Cadres supérieurs</t>
  </si>
  <si>
    <t>YB</t>
  </si>
  <si>
    <t>2.Techniciens supérieurs et cadres moyens</t>
  </si>
  <si>
    <t>YC</t>
  </si>
  <si>
    <t>3.Techniciens, agent de maîtrise et ouvriers qualifiés</t>
  </si>
  <si>
    <t>YD</t>
  </si>
  <si>
    <t>4.Employés, manœuvre, ouvriers, et apprentis</t>
  </si>
  <si>
    <t>YE</t>
  </si>
  <si>
    <t>TOTAL (1)</t>
  </si>
  <si>
    <t>YF</t>
  </si>
  <si>
    <t>Permanents</t>
  </si>
  <si>
    <t>YG</t>
  </si>
  <si>
    <t>Saisonniers</t>
  </si>
  <si>
    <t>Facturation de l'entité</t>
  </si>
  <si>
    <t>2. Personnel extérieur et bénévole</t>
  </si>
  <si>
    <t>YH</t>
  </si>
  <si>
    <t>YI</t>
  </si>
  <si>
    <t>YJ</t>
  </si>
  <si>
    <t xml:space="preserve">YK </t>
  </si>
  <si>
    <t>YL</t>
  </si>
  <si>
    <t>TOTAL (2)</t>
  </si>
  <si>
    <t>YM</t>
  </si>
  <si>
    <t>M : Masculin</t>
  </si>
  <si>
    <t>YN</t>
  </si>
  <si>
    <t>F : Féminin</t>
  </si>
  <si>
    <t>YO</t>
  </si>
  <si>
    <t>TOTAL (1 + 2)</t>
  </si>
  <si>
    <t xml:space="preserve">   Commentaire :</t>
  </si>
  <si>
    <t>L'association ne dispose pas pour le moment de personnel</t>
  </si>
  <si>
    <t xml:space="preserve"> SITUATIONS ET MOUVEMENTS</t>
  </si>
  <si>
    <t xml:space="preserve">C </t>
  </si>
  <si>
    <t>Provisions à l'ouverture de l'exercice</t>
  </si>
  <si>
    <t>Augmentations : dotations</t>
  </si>
  <si>
    <t>Diminutions : reprises</t>
  </si>
  <si>
    <t>Provisions à la clôture de l'exercice</t>
  </si>
  <si>
    <t>NATURE</t>
  </si>
  <si>
    <t>d'exploitation</t>
  </si>
  <si>
    <t>financières</t>
  </si>
  <si>
    <t>Hors activités ordinaires</t>
  </si>
  <si>
    <t xml:space="preserve">Dépréciations des immobilisations </t>
  </si>
  <si>
    <t xml:space="preserve">Dépréciations des dons et legs temporaires d'usufruit et d'immobilisations recues destinees à la vente </t>
  </si>
  <si>
    <t>Dotation de fonds affectés à un projet non consommés</t>
  </si>
  <si>
    <t>TOTAL: DOTATIONS</t>
  </si>
  <si>
    <t xml:space="preserve">Dépréciations des stocks et encours </t>
  </si>
  <si>
    <t>Dépréciations des comptes fournisseurs</t>
  </si>
  <si>
    <t>Dépréciations des comptes adhérents et clients</t>
  </si>
  <si>
    <t>Dépréciations autres créances d’exploitations</t>
  </si>
  <si>
    <t>Dépréciations des comptes créances HAO</t>
  </si>
  <si>
    <t>Dépréciation des titres et valeurs à encaisser</t>
  </si>
  <si>
    <t>Dépréciations des comptes banques</t>
  </si>
  <si>
    <t>Dépréciations des comptes établissements financiers et assimiles</t>
  </si>
  <si>
    <t>Dépréciations des comptes d’instruments de monnaie électronique</t>
  </si>
  <si>
    <t>Provisions pour risques à court termes d’exploitation</t>
  </si>
  <si>
    <t>Provisions pour risques à court terme HAO</t>
  </si>
  <si>
    <t>Provisions pour risque à court terme a caractère financier</t>
  </si>
  <si>
    <t>TOTAL : CHARGES POUR DEPRECIATIONS ET PROVISIONS A COURT TERME</t>
  </si>
  <si>
    <t xml:space="preserve">  Commentaire</t>
  </si>
  <si>
    <t xml:space="preserve">  Indiquer les événements et circonstances qui ont conduit à la constitution et à la reprise de la dépréciation et/ou de la provision.</t>
  </si>
  <si>
    <t>Intérêts des emprunts</t>
  </si>
  <si>
    <t>Intérêts dans loyers de location-acquisition</t>
  </si>
  <si>
    <t>Escomptes accordes</t>
  </si>
  <si>
    <t>Autres intérêts</t>
  </si>
  <si>
    <t>Pertes de changes financières</t>
  </si>
  <si>
    <t>Pertes sur titre de placement</t>
  </si>
  <si>
    <t>Pertes et charges sur risques financiers</t>
  </si>
  <si>
    <t>Charges pour dépréciations et provisions a court termes à caractères financiers (voir note 30)</t>
  </si>
  <si>
    <t>TOTAL : FRAIS FINANCIERS</t>
  </si>
  <si>
    <t>Intérêts de prêts et créances diverses</t>
  </si>
  <si>
    <t>Revenus de participation et autres titres immobilises</t>
  </si>
  <si>
    <t>Escomptes obtenus</t>
  </si>
  <si>
    <t>Revenus de placement</t>
  </si>
  <si>
    <t>Intérêts dans loyers de locations-financement</t>
  </si>
  <si>
    <t>Gains de changes financières</t>
  </si>
  <si>
    <t>Gains sur cession de titres de placement</t>
  </si>
  <si>
    <t>Gains sur risques financiers</t>
  </si>
  <si>
    <t>Transfert de charges financières</t>
  </si>
  <si>
    <t>Reprises de charges pour dépréciations et provisions a court termes à caractères financiers (voir note 30)</t>
  </si>
  <si>
    <t>TOTAL : REVENUS FINANCIERS</t>
  </si>
  <si>
    <r>
      <t>Commentaires</t>
    </r>
    <r>
      <rPr>
        <i/>
        <color theme="1"/>
        <family val="1"/>
        <sz val="10"/>
        <rFont val="Times New Roman"/>
      </rPr>
      <t xml:space="preserve"> : </t>
    </r>
  </si>
  <si>
    <r>
      <rPr>
        <color theme="1"/>
        <family val="2"/>
        <sz val="10"/>
        <rFont val="Calibri"/>
      </rPr>
      <t xml:space="preserve">       ●</t>
    </r>
    <r>
      <rPr>
        <i/>
        <color theme="1"/>
        <family val="1"/>
        <sz val="10"/>
        <rFont val="Times New Roman"/>
      </rPr>
      <t xml:space="preserve">         Commenter toute variation significative ;</t>
    </r>
  </si>
  <si>
    <t xml:space="preserve">       ●        Indiquer la nature des provisions pour risques a court terme.</t>
  </si>
  <si>
    <t>Libellées</t>
  </si>
  <si>
    <t>Charges H.A.O. Constatées( compte 831)</t>
  </si>
  <si>
    <t>Dons en nature ( compte 832 ) à détailler (1) :</t>
  </si>
  <si>
    <t xml:space="preserve">     (1) non affectée ……..</t>
  </si>
  <si>
    <t xml:space="preserve">     (1) affectée: ………….</t>
  </si>
  <si>
    <t>Pertes sur créances HAO</t>
  </si>
  <si>
    <t xml:space="preserve">Abandon de créance consentis </t>
  </si>
  <si>
    <t>Charges pour dépréciation et provisions pour risque à court terme HAO</t>
  </si>
  <si>
    <t>Dotations hors activités ordinaires</t>
  </si>
  <si>
    <t>TOTAL : AUTRES CHARGES HAO</t>
  </si>
  <si>
    <t>Produits H.A.O.constatés (compte 841)</t>
  </si>
  <si>
    <t>Contributions volontaires en nature (compte 842) à detailler (1) :</t>
  </si>
  <si>
    <t xml:space="preserve">      (1) dons en nature non affectés……..</t>
  </si>
  <si>
    <t xml:space="preserve">      (1) Prestations de services en nature…….. </t>
  </si>
  <si>
    <t xml:space="preserve">      (1) Dons en natur affectés……</t>
  </si>
  <si>
    <t>Contributions volontaires en numéraire</t>
  </si>
  <si>
    <t>Transferts de charges HAO</t>
  </si>
  <si>
    <t>Reprises des charges pour dépréciations et prévisions à court terme HAO</t>
  </si>
  <si>
    <t>Réprises d'amortissements, provisions et dépréciations H.A.O.</t>
  </si>
  <si>
    <t xml:space="preserve">Subventions d'équilibre </t>
  </si>
  <si>
    <t>TOTAL : AUTRES PRODUITS HAO</t>
  </si>
  <si>
    <t>Commenter toute variation significative.</t>
  </si>
  <si>
    <t>(EN MILLIERS DE FRANCS )</t>
  </si>
  <si>
    <t xml:space="preserve">  Variation en</t>
  </si>
  <si>
    <t xml:space="preserve">Valeur </t>
  </si>
  <si>
    <t xml:space="preserve"> %</t>
  </si>
  <si>
    <r>
      <t xml:space="preserve"> </t>
    </r>
    <r>
      <rPr>
        <b/>
        <color theme="1"/>
        <family val="1"/>
        <sz val="11"/>
        <rFont val="Times New Roman"/>
      </rPr>
      <t>ANALYSE DE L'ACTIVITE</t>
    </r>
  </si>
  <si>
    <t>SOLDES INTERMEDIAIRES DE GESTION</t>
  </si>
  <si>
    <t>Résultats des activités ordinaires</t>
  </si>
  <si>
    <t>Résultats hors activités ordinaires</t>
  </si>
  <si>
    <t xml:space="preserve">Résultat net </t>
  </si>
  <si>
    <t>Capacité d'autofinacement globale (CAFG) (a)</t>
  </si>
  <si>
    <t>Ratio de cotisation acquises =Cotisation/charges de l'exercice (b)</t>
  </si>
  <si>
    <t>Ratio d'utilisation des dons=sommes versées directement aux béneficiaires/sommes collectées brutes</t>
  </si>
  <si>
    <t xml:space="preserve"> ANALYSE DE LA STRUCTURE FINANCIERE</t>
  </si>
  <si>
    <t xml:space="preserve"> +  Fonds propres et assimilés</t>
  </si>
  <si>
    <t xml:space="preserve"> + Dettes financières* et ressources assimilées (c)</t>
  </si>
  <si>
    <t xml:space="preserve"> = RESSOURCES STABLES </t>
  </si>
  <si>
    <t xml:space="preserve"> - Actif immobilisé ©</t>
  </si>
  <si>
    <t xml:space="preserve"> = FONDS DE ROULEMENT (1)</t>
  </si>
  <si>
    <t xml:space="preserve"> + Actif circulant d'exploitation ©</t>
  </si>
  <si>
    <t xml:space="preserve"> - Passif circulant d'exploitation ©</t>
  </si>
  <si>
    <r>
      <t xml:space="preserve"> =</t>
    </r>
    <r>
      <rPr>
        <b/>
        <color theme="1"/>
        <family val="1"/>
        <sz val="11"/>
        <rFont val="Times New Roman"/>
      </rPr>
      <t xml:space="preserve"> BESOIN DE FINANCEMENT D'EXPLOITATION (2)</t>
    </r>
  </si>
  <si>
    <t xml:space="preserve"> + Actif circulant HAO ©</t>
  </si>
  <si>
    <t xml:space="preserve"> - Passif circulant HAO ©</t>
  </si>
  <si>
    <t xml:space="preserve"> = BESOIN DE FINANCEMENT HAO (3)</t>
  </si>
  <si>
    <t>BESOIN DE FINANCEMENT GLOBAL (4) = (2) + (3)</t>
  </si>
  <si>
    <t>TRESORERIE NETTE (5) = (1)-(4)</t>
  </si>
  <si>
    <t>CONTRÔLE : TRESORERIE NETTE = (TRESORERIE - ACTIF) -(TRESORERIE - PASSIF)</t>
  </si>
  <si>
    <t xml:space="preserve"> ANALYSE DE LA SOLVABILITE</t>
  </si>
  <si>
    <t xml:space="preserve">   Ratio de liquidité générale = Créances** + Tresorerie -actif/Passif circulant</t>
  </si>
  <si>
    <t xml:space="preserve"> ANALYSE DE LA VARIATION DE LA TRESORERIE</t>
  </si>
  <si>
    <t xml:space="preserve">   Flux de trésorerie des activités opérationnelles</t>
  </si>
  <si>
    <t xml:space="preserve">   Flux de trésorerie des activités d'investissement</t>
  </si>
  <si>
    <t xml:space="preserve">   Flux de trésorerie des activités de financerment</t>
  </si>
  <si>
    <t xml:space="preserve">   = VARAITIONDE LA TRESORERIE NETTE DE LA PERIODE</t>
  </si>
  <si>
    <t>a) capacité d' autofinancement globale = Résultat net + Dotations aux  amortissements et aux dépréciations ,</t>
  </si>
  <si>
    <t>provisions et autres -Reprise d'amortissements, de dépréciations provisions et autres + valeurs comptables</t>
  </si>
  <si>
    <t xml:space="preserve">des cessions d'immobilisations - produits des cessions d'immobilisations </t>
  </si>
  <si>
    <t>b) Les variations des ratios doivent  etre exprimées en nombre de points (par exemple de 2% à 5% =3 points)</t>
  </si>
  <si>
    <t>c)Les ecarts de conversions doivent etre éliminés afin de raméner les créances et les dettes concernées à leur valeur initiale</t>
  </si>
  <si>
    <t>* dettes financiers : emprunts et dettes financiers divers + des de location-acquisition</t>
  </si>
  <si>
    <t>** Créances = Fournisseurs avances versées + Adhérents+Autres Créances</t>
  </si>
  <si>
    <t xml:space="preserve"> (Note obligatoire pour les entités ayant un effectif de plus de 250 personnes y compris les bénévoles)</t>
  </si>
  <si>
    <t>INFORMATIONS SOCIALES</t>
  </si>
  <si>
    <t>Emploi :</t>
  </si>
  <si>
    <t>• l'effectif total et la répartition des salariées par sexe , âge et zone géographique ;</t>
  </si>
  <si>
    <t>• les embauches et les licenciements</t>
  </si>
  <si>
    <t>• les remunérations et leur évolution.</t>
  </si>
  <si>
    <t xml:space="preserve">Relations sociales : </t>
  </si>
  <si>
    <t xml:space="preserve">• l'organisation du dialogue sociale ; </t>
  </si>
  <si>
    <t>• le bilan des accords collectifs.</t>
  </si>
  <si>
    <t xml:space="preserve">Santé et sécurité : </t>
  </si>
  <si>
    <t>• les conditions de santés et de sécurité au travail ;</t>
  </si>
  <si>
    <t>• le bilan des accords signés avec les organisations syndicales ou les réprésentants du personnel en matière de santé et de sécurité au travail.</t>
  </si>
  <si>
    <t xml:space="preserve">Formation : </t>
  </si>
  <si>
    <t>• les politiques mises en œuvre en matière de formation ;</t>
  </si>
  <si>
    <t>le nombre total d'heures de formation.</t>
  </si>
  <si>
    <t xml:space="preserve">Egalité de traitement : </t>
  </si>
  <si>
    <t>• les mesures prises en faveur de l'égalité entre les hommes et les femmes  ;</t>
  </si>
  <si>
    <t>• les mesures prises en faveur de l'emploi et l'insertion des personnes handicapées;</t>
  </si>
  <si>
    <t>INFORMATIONS ENVIRONNEMENTALES</t>
  </si>
  <si>
    <t>Politique générale en matière environnementale :</t>
  </si>
  <si>
    <t>• l'organisation de la société pour prendre en comptes  les questions environnementales et , le cas échéant, les demarches d'évaluation ou de certification en matière d'environnement;</t>
  </si>
  <si>
    <t>• les actions de formations et d'information des salariés menées en matière de protection d'environnement;</t>
  </si>
  <si>
    <t>• les moyens consacrés à la pévention des risques environnementaux et des pollutions.</t>
  </si>
  <si>
    <t>Pollution et gestion des dechets :</t>
  </si>
  <si>
    <t>• les mesures de préventions , de reduction ou de réparation  de rejets dans l'air, l'eau et le sol affectant gravement l'environnement;</t>
  </si>
  <si>
    <t>• les mesures de prevention de recyclage et d'élimination des dechets;</t>
  </si>
  <si>
    <t>• la prise en compte ddezs nuisances sonores et de toute autre forme de pollution spécifique à une activité.</t>
  </si>
  <si>
    <t xml:space="preserve">Utilisation durable des ressources : </t>
  </si>
  <si>
    <t>• la consommation d'eau et l'approvisionnement en eau en fonction des contraintes locales ;</t>
  </si>
  <si>
    <t>• la consommation de matière prémières et les mesures prises pour amériorer l'efficacité dans leur utilisation ;</t>
  </si>
  <si>
    <t>• la consommation d'énergie , les mesures prises pour ameliorer l'efficacité énergétique et le recours aux énergies renouvelable.</t>
  </si>
  <si>
    <t>Changement climatique :</t>
  </si>
  <si>
    <t>• les rejets de gaz à effet de serre.</t>
  </si>
  <si>
    <t>Protection de la bio diversité :</t>
  </si>
  <si>
    <t>• les mesures prises pour preserver ou developper la biodiversité.</t>
  </si>
  <si>
    <t>INFORMATIONS RELATIVES AUX ENGAGEMENTS SOCIAUX EN FAVEUR DU DEVELOPPEMENT DURABLE</t>
  </si>
  <si>
    <t>Impact terriorial, économique et social de l'activité de la société :</t>
  </si>
  <si>
    <t>• en matiere d'emploi et de developpement régional;</t>
  </si>
  <si>
    <t>• sur les population riveraines ou locales.</t>
  </si>
  <si>
    <t>Reation entretenues avec les personnes ou les organisations interssées par l'activité de l'entité (autres associations et fondations, etablissements d'enseignement….):</t>
  </si>
  <si>
    <t>• les conditions du dialogue avec ces personnes ou organisations ;</t>
  </si>
  <si>
    <t>• les actions de partenariat ou de mécénat.</t>
  </si>
  <si>
    <t>Sous-traitance et fournisseurs :</t>
  </si>
  <si>
    <t>• la prise en compte dans la politique d'achat des enjeux sociaux et environnementaux.</t>
  </si>
  <si>
    <t>TABLEAU SUIVI EXECUTION BUDGET DU…………AU……………..</t>
  </si>
  <si>
    <t>Code</t>
  </si>
  <si>
    <t>Budget de l'exercice</t>
  </si>
  <si>
    <t>Crédit disponible</t>
  </si>
  <si>
    <t>4=2+3</t>
  </si>
  <si>
    <t>5=1-4</t>
  </si>
  <si>
    <t xml:space="preserve">REF </t>
  </si>
  <si>
    <t>NUMEROS DE COMPTES A INCORPORER DANS LES POSTES</t>
  </si>
  <si>
    <t>NUMEROS DE COMPTES A  INCORPORER DANS LES POSTES</t>
  </si>
  <si>
    <t xml:space="preserve"> Amortissents/dépréciations</t>
  </si>
  <si>
    <t>IMMOBILISATIONS DESTINEES A LA VENTE PROVENANT DE DONS ET LEGS NON RECUS ET USUFRUIT TEMPORAIRE</t>
  </si>
  <si>
    <t>Dotation non consomptible sans droit reprise</t>
  </si>
  <si>
    <t>Immobilisations incoporelles</t>
  </si>
  <si>
    <t>Dotation non consomptible avec droit reprise</t>
  </si>
  <si>
    <t>Immobilisation corporelles et financières</t>
  </si>
  <si>
    <t>202, 203, 204, 205</t>
  </si>
  <si>
    <t xml:space="preserve">IMMOBILISATIONS INCORPORELLES </t>
  </si>
  <si>
    <t xml:space="preserve">Brevets, licences, logicièls et droits similaires </t>
  </si>
  <si>
    <t>212, 213, 214, 2193</t>
  </si>
  <si>
    <t>2812, 2813, 2814, 2912, 2913, 2914, 2919p</t>
  </si>
  <si>
    <t>Ecarts de réevalution</t>
  </si>
  <si>
    <t xml:space="preserve">Autres immobilisation incoporelles </t>
  </si>
  <si>
    <t>218, 2198</t>
  </si>
  <si>
    <t xml:space="preserve"> 2818, 2918, 2919p</t>
  </si>
  <si>
    <t>Reserves</t>
  </si>
  <si>
    <t>Avances et accomptes versés sur immobilisation incorporées</t>
  </si>
  <si>
    <t>Repport a nouveau (+ ou -)</t>
  </si>
  <si>
    <t xml:space="preserve">IMMOBILISATIONS CORPORELLES </t>
  </si>
  <si>
    <t>Resultats net de l'exercice (excedent + ou deficit-)</t>
  </si>
  <si>
    <t>13 (131 ou139)</t>
  </si>
  <si>
    <t>282, 292</t>
  </si>
  <si>
    <t xml:space="preserve">Subvention d'investissements </t>
  </si>
  <si>
    <t>231, 232, 233, 2391, 2392, 2393, 2396</t>
  </si>
  <si>
    <t>2831, 2832, 2833, 2931, 2932, 2933, 2939p</t>
  </si>
  <si>
    <t>Provisions reglementées</t>
  </si>
  <si>
    <t>Aménagements , agencements et installations</t>
  </si>
  <si>
    <t>234, 235, 238, 2394, 2395, 2398</t>
  </si>
  <si>
    <t xml:space="preserve">  2839, 2835, 2838, 2934, 2935, 2938, 2939p</t>
  </si>
  <si>
    <t>Materiel, mobiliers et actifs biologiques</t>
  </si>
  <si>
    <t>24 (sauf 245 et 2495)</t>
  </si>
  <si>
    <t>284 (sauf 2845), 294 (sauf 2945,2949), 2949p</t>
  </si>
  <si>
    <t>Materiel de transports</t>
  </si>
  <si>
    <t>2845, 2945, 2949p</t>
  </si>
  <si>
    <t>Fonds repportés</t>
  </si>
  <si>
    <t>Avances et accomptes versés sur immobilisation corporels</t>
  </si>
  <si>
    <t>181, 182, 183, 185, 186, 188</t>
  </si>
  <si>
    <t>485, 4865</t>
  </si>
  <si>
    <t>481, 484, 4861, 488, 4998</t>
  </si>
  <si>
    <t>31,32,33,34,36,37,38</t>
  </si>
  <si>
    <t>40 (sauf 409)</t>
  </si>
  <si>
    <t>Adhérents, clients -usagers</t>
  </si>
  <si>
    <t>41 (sauf 419)</t>
  </si>
  <si>
    <t xml:space="preserve">Soldes crédteurs: 42, 43, 44, 45, 47 (sauf 479), 499 ( sauf4998), 599 </t>
  </si>
  <si>
    <t>soldes débiteurs: 42,43,44,45,47 (sauf 478)</t>
  </si>
  <si>
    <t xml:space="preserve"> 492,493,494,497</t>
  </si>
  <si>
    <t>Banques,Etablissement finaciers et credit de tresorerie</t>
  </si>
  <si>
    <t>56,solde crediteur: 52,53</t>
  </si>
  <si>
    <t xml:space="preserve">Valeur à encaisser </t>
  </si>
  <si>
    <t>Banques, etablissements financiers, caisses et assimilés</t>
  </si>
  <si>
    <t>soldes debiteurs : 52,53,55,57</t>
  </si>
  <si>
    <t xml:space="preserve"> 592,593,595</t>
  </si>
  <si>
    <t>Ecats de conversion-actif</t>
  </si>
  <si>
    <t>Ecarts de conversions passif</t>
  </si>
  <si>
    <t xml:space="preserve"> + </t>
  </si>
  <si>
    <t>Dotations consomptibles transfées au compte de résultat</t>
  </si>
  <si>
    <t>Révenus liés à la générosité</t>
  </si>
  <si>
    <t>+</t>
  </si>
  <si>
    <t xml:space="preserve">Ventes de marchandises </t>
  </si>
  <si>
    <t>7052, 7053</t>
  </si>
  <si>
    <t xml:space="preserve">Subvention d'exploitation </t>
  </si>
  <si>
    <t xml:space="preserve"> +</t>
  </si>
  <si>
    <t>706, 707, 708, 72, 73(+/-), 75, 77, 78</t>
  </si>
  <si>
    <t>Reprises de provisions, dépréciations , subventions et autres reprises</t>
  </si>
  <si>
    <t>REVENUS DES ACTIVITES ORDINAIRES (somme RA à RG)</t>
  </si>
  <si>
    <t>-</t>
  </si>
  <si>
    <t>Variation de stocks des achats de biens et services liés à l'activité</t>
  </si>
  <si>
    <t xml:space="preserve"> +/-</t>
  </si>
  <si>
    <t xml:space="preserve">TC </t>
  </si>
  <si>
    <t>604, 605, 606, 608</t>
  </si>
  <si>
    <t>Variationde stock de marchandises , de matières premières et autres</t>
  </si>
  <si>
    <t xml:space="preserve"> +/ - </t>
  </si>
  <si>
    <t>6032, 6033, 6034, 6035</t>
  </si>
  <si>
    <t xml:space="preserve"> - </t>
  </si>
  <si>
    <t>62, 63</t>
  </si>
  <si>
    <t>Impôts et taxes</t>
  </si>
  <si>
    <t>AUTRES CHARGES</t>
  </si>
  <si>
    <t>Frais financiers et charges assimilées</t>
  </si>
  <si>
    <t xml:space="preserve">Dotations aux amortissements , provisions ,aux  dépréciations et autres </t>
  </si>
  <si>
    <t>68, 69</t>
  </si>
  <si>
    <t>CHARGES DES ACTIVITES ORDINAIRES ( somme TA à TL</t>
  </si>
  <si>
    <t>RESULTATS DES ACTIVITES ORDINAIRES (XA-XB )</t>
  </si>
  <si>
    <t>Produits H.A.O</t>
  </si>
  <si>
    <t>82, 84, 86, 88</t>
  </si>
  <si>
    <t>Charges H.A.O</t>
  </si>
  <si>
    <t>81, 83, 85, 87 ( +/-)</t>
  </si>
  <si>
    <t xml:space="preserve">XD </t>
  </si>
  <si>
    <t>RESULTATS H.A.O (TM-TN)</t>
  </si>
  <si>
    <t>Résultat net de l'exercice (excédent-déficit )                       (XC + XD)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</si>
</sst>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family val="2"/>
      <sz val="11"/>
      <name val="Arial"/>
    </font>
    <font>
      <b/>
      <color theme="1"/>
      <family val="2"/>
      <sz val="12"/>
      <name val="Arial"/>
    </font>
    <font>
      <b/>
      <color theme="1"/>
      <family val="2"/>
      <sz val="11"/>
      <name val="Arial"/>
    </font>
    <font>
      <color theme="1"/>
      <family val="2"/>
      <sz val="16"/>
      <name val="Arial Black"/>
    </font>
    <font>
      <family val="2"/>
      <sz val="11"/>
      <name val="Arial"/>
    </font>
    <font>
      <b/>
      <u/>
      <family val="2"/>
      <sz val="11"/>
      <name val="Arial"/>
    </font>
    <font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color theme="1"/>
      <family val="2"/>
      <sz val="8"/>
      <name val="Arial"/>
    </font>
    <font>
      <color theme="1"/>
      <family val="2"/>
      <sz val="9"/>
      <name val="Arial"/>
    </font>
    <font>
      <family val="2"/>
      <sz val="10"/>
      <name val="Arial"/>
    </font>
    <font>
      <color theme="1"/>
      <family val="1"/>
      <sz val="9"/>
      <name val="Times New Roman"/>
    </font>
    <font>
      <b/>
      <color theme="1"/>
      <family val="1"/>
      <sz val="9"/>
      <name val="Times New Roman"/>
    </font>
    <font>
      <b/>
      <color theme="0"/>
      <family val="1"/>
      <sz val="9"/>
      <name val="Times New Roman"/>
    </font>
    <font>
      <color theme="0"/>
      <family val="1"/>
      <sz val="9"/>
      <name val="Times New Roman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b/>
      <color theme="0"/>
      <family val="1"/>
      <sz val="11"/>
      <name val="Times New Roman"/>
    </font>
    <font>
      <color theme="0"/>
      <family val="1"/>
      <sz val="11"/>
      <name val="Times New Roman"/>
    </font>
    <font>
      <color theme="1"/>
      <family val="1"/>
      <sz val="10"/>
      <name val="Times New Roman"/>
    </font>
    <font>
      <b/>
      <u/>
      <color theme="1"/>
      <family val="1"/>
      <sz val="11"/>
      <name val="Times New Roman"/>
    </font>
    <font>
      <b/>
      <color theme="1"/>
      <family val="1"/>
      <sz val="10"/>
      <name val="Times New Roman"/>
    </font>
    <font>
      <b/>
      <i/>
      <color rgb="FF000000"/>
      <family val="1"/>
      <sz val="10"/>
      <name val="Times New Roman"/>
    </font>
    <font>
      <color rgb="FF000000"/>
      <family val="1"/>
      <sz val="10"/>
      <name val="Times New Roman"/>
    </font>
    <font>
      <b/>
      <color rgb="FF0D0D0D"/>
      <family val="1"/>
      <sz val="10"/>
      <name val="Times New Roman"/>
    </font>
    <font>
      <b/>
      <color rgb="FF000000"/>
      <family val="1"/>
      <sz val="11"/>
      <name val="Times New Roman"/>
    </font>
    <font>
      <color rgb="FF000000"/>
      <family val="1"/>
      <sz val="11"/>
      <name val="Times New Roman"/>
    </font>
    <font>
      <b/>
      <color theme="2" tint="-0.0999786370433668"/>
      <family val="1"/>
      <sz val="11"/>
      <name val="Times New Roman"/>
    </font>
    <font>
      <color theme="2" tint="-0.0999786370433668"/>
      <family val="1"/>
      <sz val="11"/>
      <name val="Times New Roman"/>
    </font>
    <font>
      <b/>
      <i/>
      <color theme="1"/>
      <family val="1"/>
      <sz val="10"/>
      <name val="Times New Roman"/>
    </font>
    <font>
      <i/>
      <color theme="1"/>
      <family val="1"/>
      <sz val="10"/>
      <name val="Times New Roman"/>
    </font>
    <font>
      <i/>
      <color theme="1"/>
      <family val="1"/>
      <sz val="11"/>
      <name val="Times New Roman"/>
    </font>
    <font>
      <i/>
      <color rgb="FF000000"/>
      <family val="1"/>
      <sz val="10"/>
      <name val="Times New Roman"/>
    </font>
    <font>
      <color theme="1"/>
      <family val="1"/>
      <sz val="12"/>
      <name val="Times New Roman"/>
    </font>
    <font>
      <color theme="3" tint="-0.499984740745262"/>
      <family val="1"/>
      <sz val="11"/>
      <name val="Times New Roman"/>
    </font>
    <font>
      <color rgb="FFFF0000"/>
      <family val="1"/>
      <sz val="11"/>
      <name val="Times New Roman"/>
    </font>
    <font>
      <b/>
      <i/>
      <color theme="1"/>
      <family val="1"/>
      <sz val="11"/>
      <name val="Times New Roman"/>
    </font>
    <font>
      <b/>
      <i/>
      <color theme="1"/>
      <family val="1"/>
      <sz val="9"/>
      <name val="Times New Roman"/>
    </font>
    <font>
      <b/>
      <color theme="0" tint="-0.1499984740745262"/>
      <family val="1"/>
      <sz val="11"/>
      <name val="Times New Roman"/>
    </font>
    <font>
      <color theme="0" tint="-0.0499893185216834"/>
      <family val="1"/>
      <sz val="11"/>
      <name val="Times New Roman"/>
    </font>
    <font>
      <color theme="1"/>
      <family val="2"/>
      <sz val="10"/>
      <name val="Calibri"/>
    </font>
    <font>
      <i/>
      <color theme="1"/>
      <family val="2"/>
      <scheme val="minor"/>
      <sz val="11"/>
      <name val="Calibri"/>
    </font>
    <font>
      <b/>
      <color rgb="FFFFFFFF"/>
      <family val="1"/>
      <sz val="11"/>
      <name val="Times New Roman"/>
    </font>
    <font>
      <i/>
      <color rgb="FF000000"/>
      <family val="1"/>
      <sz val="11"/>
      <name val="Times New Roman"/>
    </font>
    <font>
      <b/>
      <family val="1"/>
      <sz val="11"/>
      <name val="Times New Roman"/>
    </font>
    <font>
      <color theme="1"/>
      <family val="1"/>
      <sz val="8"/>
      <name val="Times New Roman"/>
    </font>
    <font>
      <b/>
      <color theme="9"/>
      <family val="1"/>
      <sz val="11"/>
      <name val="Times New Roman"/>
    </font>
    <font>
      <b/>
      <color theme="1"/>
      <family val="1"/>
      <sz val="8"/>
      <name val="Times New Roman"/>
    </font>
    <font>
      <b/>
      <color theme="0"/>
      <family val="1"/>
      <sz val="8"/>
      <name val="Times New Roman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3" tint="0.399945066682943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lightUp">
        <bgColor theme="0"/>
      </patternFill>
    </fill>
    <fill>
      <patternFill patternType="lightUp">
        <bgColor theme="3" tint="0.5999938962981048"/>
      </patternFill>
    </fill>
    <fill>
      <patternFill patternType="lightUp"/>
    </fill>
    <fill>
      <patternFill patternType="lightUp">
        <bgColor theme="3" tint="0.3999755851924192"/>
      </patternFill>
    </fill>
    <fill>
      <patternFill patternType="lightDown">
        <bgColor theme="0"/>
      </patternFill>
    </fill>
    <fill>
      <patternFill patternType="solid">
        <fgColor rgb="FF9BC2E6"/>
        <bgColor indexed="64"/>
      </patternFill>
    </fill>
    <fill>
      <patternFill patternType="mediumGray">
        <bgColor theme="3" tint="0.7999816888943144"/>
      </patternFill>
    </fill>
    <fill>
      <patternFill patternType="lightGray">
        <bgColor theme="3" tint="0.7999511703848384"/>
      </patternFill>
    </fill>
    <fill>
      <patternFill patternType="lightUp">
        <bgColor theme="3" tint="0.799951170384838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/>
      <diagonal/>
    </border>
    <border>
      <left/>
      <right/>
      <top/>
      <bottom style="dashDot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D0D0D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/>
      <bottom style="thin"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1">
    <xf numFmtId="0" fontId="0" fillId="0" borderId="0" xfId="0"/>
    <xf numFmtId="0" fontId="1" fillId="0" borderId="0" xfId="0" applyFont="1" applyProtection="1"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2" fillId="0" borderId="0" xfId="0" applyFont="1" applyAlignment="1">
      <alignment horizontal="center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3" xfId="0" applyFont="1" applyBorder="1" applyProtection="1">
      <protection hidden="1"/>
    </xf>
    <xf numFmtId="0" fontId="2" fillId="0" borderId="4" xfId="0" applyFont="1" applyBorder="1" applyAlignment="1" applyProtection="1">
      <alignment horizontal="left"/>
      <protection hidden="1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5" xfId="0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49" fontId="1" fillId="0" borderId="0" xfId="0" applyNumberFormat="1" applyFont="1" applyAlignment="1" applyProtection="1">
      <alignment vertical="center"/>
      <protection hidden="1"/>
    </xf>
    <xf numFmtId="49" fontId="4" fillId="0" borderId="0" xfId="0" applyNumberFormat="1" applyFont="1" applyAlignment="1" applyProtection="1">
      <alignment horizontal="center" vertical="center"/>
      <protection hidden="1"/>
    </xf>
    <xf numFmtId="0" fontId="1" fillId="2" borderId="5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0" borderId="5" xfId="0" applyFont="1" applyBorder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1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center"/>
      <protection hidden="1"/>
    </xf>
    <xf numFmtId="14" fontId="2" fillId="2" borderId="0" xfId="0" applyNumberFormat="1" applyFont="1" applyFill="1"/>
    <xf numFmtId="0" fontId="1" fillId="0" borderId="7" xfId="0" applyFont="1" applyBorder="1" applyProtection="1">
      <protection hidden="1"/>
    </xf>
    <xf numFmtId="0" fontId="2" fillId="2" borderId="0" xfId="0" applyFont="1" applyFill="1" applyProtection="1">
      <protection hidden="1"/>
    </xf>
    <xf numFmtId="0" fontId="2" fillId="0" borderId="8" xfId="0" applyFont="1" applyBorder="1" applyProtection="1">
      <protection hidden="1"/>
    </xf>
    <xf numFmtId="0" fontId="2" fillId="0" borderId="8" xfId="0" applyFont="1" applyBorder="1" applyAlignment="1" applyProtection="1">
      <alignment horizontal="left"/>
      <protection hidden="1"/>
    </xf>
    <xf numFmtId="0" fontId="2" fillId="0" borderId="9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3" fontId="2" fillId="2" borderId="0" xfId="0" applyNumberFormat="1" applyFont="1" applyFill="1" applyProtection="1">
      <protection hidden="1"/>
    </xf>
    <xf numFmtId="0" fontId="1" fillId="0" borderId="4" xfId="0" applyFont="1" applyBorder="1" applyAlignment="1" applyProtection="1">
      <alignment horizontal="left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left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6" fillId="2" borderId="8" xfId="0" applyFont="1" applyFill="1" applyBorder="1" applyProtection="1">
      <protection hidden="1"/>
    </xf>
    <xf numFmtId="0" fontId="1" fillId="2" borderId="8" xfId="0" applyFont="1" applyFill="1" applyBorder="1" applyProtection="1">
      <protection hidden="1"/>
    </xf>
    <xf numFmtId="0" fontId="2" fillId="0" borderId="9" xfId="0" applyFont="1" applyBorder="1" applyProtection="1">
      <protection hidden="1"/>
    </xf>
    <xf numFmtId="0" fontId="2" fillId="0" borderId="0" xfId="0" applyFont="1" applyAlignment="1" applyProtection="1">
      <alignment vertical="center"/>
      <protection locked="0"/>
    </xf>
    <xf numFmtId="0" fontId="1" fillId="0" borderId="5" xfId="0" applyFont="1" applyBorder="1"/>
    <xf numFmtId="0" fontId="6" fillId="0" borderId="9" xfId="0" applyFont="1" applyBorder="1" applyAlignment="1" applyProtection="1">
      <alignment horizontal="left"/>
      <protection hidden="1"/>
    </xf>
    <xf numFmtId="0" fontId="7" fillId="0" borderId="0" xfId="0" applyFont="1" applyProtection="1">
      <protection hidden="1"/>
    </xf>
    <xf numFmtId="0" fontId="7" fillId="0" borderId="5" xfId="0" applyFont="1" applyBorder="1" applyProtection="1">
      <protection hidden="1"/>
    </xf>
    <xf numFmtId="0" fontId="2" fillId="2" borderId="5" xfId="0" applyFont="1" applyFill="1" applyBorder="1" applyAlignment="1" applyProtection="1">
      <alignment horizontal="center"/>
      <protection hidden="1"/>
    </xf>
    <xf numFmtId="0" fontId="1" fillId="2" borderId="10" xfId="0" applyFont="1" applyFill="1" applyBorder="1" applyProtection="1">
      <protection hidden="1"/>
    </xf>
    <xf numFmtId="0" fontId="1" fillId="2" borderId="11" xfId="0" applyFont="1" applyFill="1" applyBorder="1" applyProtection="1">
      <protection hidden="1"/>
    </xf>
    <xf numFmtId="0" fontId="1" fillId="2" borderId="12" xfId="0" applyFont="1" applyFill="1" applyBorder="1" applyProtection="1">
      <protection hidden="1"/>
    </xf>
    <xf numFmtId="0" fontId="8" fillId="2" borderId="13" xfId="0" applyFont="1" applyFill="1" applyBorder="1" applyAlignment="1" applyProtection="1">
      <alignment horizontal="center" vertical="center"/>
      <protection hidden="1"/>
    </xf>
    <xf numFmtId="0" fontId="8" fillId="2" borderId="14" xfId="0" applyFont="1" applyFill="1" applyBorder="1" applyAlignment="1" applyProtection="1">
      <alignment horizontal="center" vertical="center"/>
      <protection hidden="1"/>
    </xf>
    <xf numFmtId="0" fontId="8" fillId="2" borderId="15" xfId="0" applyFont="1" applyFill="1" applyBorder="1" applyAlignment="1" applyProtection="1">
      <alignment horizontal="center" vertical="center"/>
      <protection hidden="1"/>
    </xf>
    <xf numFmtId="0" fontId="9" fillId="2" borderId="10" xfId="0" applyFont="1" applyFill="1" applyBorder="1" applyAlignment="1" applyProtection="1">
      <alignment horizontal="left"/>
      <protection hidden="1"/>
    </xf>
    <xf numFmtId="0" fontId="9" fillId="2" borderId="11" xfId="0" applyFont="1" applyFill="1" applyBorder="1" applyAlignment="1" applyProtection="1">
      <alignment horizontal="left"/>
      <protection hidden="1"/>
    </xf>
    <xf numFmtId="0" fontId="10" fillId="2" borderId="12" xfId="0" applyFont="1" applyFill="1" applyBorder="1" applyAlignment="1" applyProtection="1">
      <alignment horizontal="center" vertical="center"/>
      <protection hidden="1"/>
    </xf>
    <xf numFmtId="0" fontId="8" fillId="2" borderId="16" xfId="0" applyFont="1" applyFill="1" applyBorder="1" applyAlignment="1" applyProtection="1">
      <alignment horizontal="center" vertical="center"/>
      <protection hidden="1"/>
    </xf>
    <xf numFmtId="0" fontId="8" fillId="2" borderId="8" xfId="0" applyFont="1" applyFill="1" applyBorder="1" applyAlignment="1" applyProtection="1">
      <alignment horizontal="center" vertical="center"/>
      <protection hidden="1"/>
    </xf>
    <xf numFmtId="0" fontId="8" fillId="2" borderId="9" xfId="0" applyFont="1" applyFill="1" applyBorder="1" applyAlignment="1" applyProtection="1">
      <alignment horizontal="center" vertical="center"/>
      <protection hidden="1"/>
    </xf>
    <xf numFmtId="0" fontId="9" fillId="2" borderId="10" xfId="0" applyFont="1" applyFill="1" applyBorder="1" applyProtection="1">
      <protection hidden="1"/>
    </xf>
    <xf numFmtId="0" fontId="11" fillId="2" borderId="11" xfId="0" applyFont="1" applyFill="1" applyBorder="1" applyProtection="1">
      <protection hidden="1"/>
    </xf>
    <xf numFmtId="0" fontId="9" fillId="2" borderId="11" xfId="0" applyFont="1" applyFill="1" applyBorder="1" applyAlignment="1" applyProtection="1">
      <alignment horizontal="right"/>
      <protection hidden="1"/>
    </xf>
    <xf numFmtId="0" fontId="8" fillId="2" borderId="10" xfId="0" applyFont="1" applyFill="1" applyBorder="1" applyAlignment="1" applyProtection="1">
      <alignment horizontal="left"/>
      <protection hidden="1"/>
    </xf>
    <xf numFmtId="0" fontId="8" fillId="2" borderId="11" xfId="0" applyFont="1" applyFill="1" applyBorder="1" applyAlignment="1" applyProtection="1">
      <alignment horizontal="left"/>
      <protection hidden="1"/>
    </xf>
    <xf numFmtId="0" fontId="8" fillId="2" borderId="17" xfId="0" applyFont="1" applyFill="1" applyBorder="1" applyAlignment="1" applyProtection="1">
      <alignment horizontal="left"/>
      <protection hidden="1"/>
    </xf>
    <xf numFmtId="0" fontId="6" fillId="2" borderId="13" xfId="0" applyFont="1" applyFill="1" applyBorder="1" applyAlignment="1" applyProtection="1">
      <alignment horizontal="center"/>
      <protection hidden="1"/>
    </xf>
    <xf numFmtId="0" fontId="6" fillId="2" borderId="14" xfId="0" applyFont="1" applyFill="1" applyBorder="1" applyAlignment="1" applyProtection="1">
      <alignment horizontal="center"/>
      <protection hidden="1"/>
    </xf>
    <xf numFmtId="0" fontId="6" fillId="2" borderId="15" xfId="0" applyFont="1" applyFill="1" applyBorder="1" applyAlignment="1" applyProtection="1">
      <alignment horizontal="center"/>
      <protection hidden="1"/>
    </xf>
    <xf numFmtId="0" fontId="8" fillId="2" borderId="10" xfId="0" applyFont="1" applyFill="1" applyBorder="1" applyProtection="1">
      <protection hidden="1"/>
    </xf>
    <xf numFmtId="0" fontId="12" fillId="2" borderId="11" xfId="0" applyFont="1" applyFill="1" applyBorder="1" applyProtection="1">
      <protection hidden="1"/>
    </xf>
    <xf numFmtId="0" fontId="8" fillId="2" borderId="11" xfId="0" applyFont="1" applyFill="1" applyBorder="1" applyAlignment="1" applyProtection="1">
      <alignment horizontal="right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1" fillId="2" borderId="16" xfId="0" applyFont="1" applyFill="1" applyBorder="1" applyProtection="1">
      <protection hidden="1"/>
    </xf>
    <xf numFmtId="0" fontId="6" fillId="2" borderId="8" xfId="0" applyFont="1" applyFill="1" applyBorder="1" applyAlignment="1" applyProtection="1">
      <alignment horizontal="right"/>
      <protection hidden="1"/>
    </xf>
    <xf numFmtId="0" fontId="1" fillId="2" borderId="9" xfId="0" applyFont="1" applyFill="1" applyBorder="1" applyProtection="1">
      <protection hidden="1"/>
    </xf>
    <xf numFmtId="0" fontId="9" fillId="0" borderId="13" xfId="0" applyFont="1" applyBorder="1" applyAlignment="1" applyProtection="1">
      <alignment horizontal="left"/>
      <protection hidden="1"/>
    </xf>
    <xf numFmtId="0" fontId="9" fillId="0" borderId="14" xfId="0" applyFont="1" applyBorder="1" applyAlignment="1" applyProtection="1">
      <alignment horizontal="left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left"/>
      <protection hidden="1"/>
    </xf>
    <xf numFmtId="0" fontId="8" fillId="0" borderId="11" xfId="0" applyFont="1" applyBorder="1" applyAlignment="1" applyProtection="1">
      <alignment horizontal="left"/>
      <protection hidden="1"/>
    </xf>
    <xf numFmtId="0" fontId="8" fillId="0" borderId="17" xfId="0" applyFont="1" applyBorder="1" applyAlignment="1" applyProtection="1">
      <alignment horizontal="left"/>
      <protection hidden="1"/>
    </xf>
    <xf numFmtId="0" fontId="9" fillId="0" borderId="18" xfId="0" applyFont="1" applyBorder="1" applyAlignment="1" applyProtection="1">
      <alignment horizontal="left"/>
      <protection hidden="1"/>
    </xf>
    <xf numFmtId="0" fontId="9" fillId="0" borderId="0" xfId="0" applyFont="1" applyAlignment="1" applyProtection="1">
      <alignment horizontal="left"/>
      <protection hidden="1"/>
    </xf>
    <xf numFmtId="0" fontId="2" fillId="0" borderId="12" xfId="0" applyFont="1" applyBorder="1" applyAlignment="1" applyProtection="1">
      <alignment horizontal="center"/>
      <protection locked="0"/>
    </xf>
    <xf numFmtId="0" fontId="1" fillId="0" borderId="13" xfId="0" applyFont="1" applyBorder="1" applyProtection="1">
      <protection hidden="1"/>
    </xf>
    <xf numFmtId="0" fontId="6" fillId="0" borderId="14" xfId="0" applyFont="1" applyBorder="1" applyAlignment="1" applyProtection="1">
      <alignment horizontal="right"/>
      <protection hidden="1"/>
    </xf>
    <xf numFmtId="0" fontId="1" fillId="0" borderId="14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2" borderId="19" xfId="0" applyFont="1" applyFill="1" applyBorder="1" applyProtection="1">
      <protection hidden="1"/>
    </xf>
    <xf numFmtId="0" fontId="1" fillId="0" borderId="20" xfId="0" applyFont="1" applyBorder="1" applyProtection="1">
      <protection hidden="1"/>
    </xf>
    <xf numFmtId="0" fontId="1" fillId="0" borderId="21" xfId="0" applyFont="1" applyBorder="1" applyProtection="1">
      <protection hidden="1"/>
    </xf>
    <xf numFmtId="0" fontId="1" fillId="0" borderId="22" xfId="0" applyFont="1" applyBorder="1" applyProtection="1">
      <protection hidden="1"/>
    </xf>
    <xf numFmtId="0" fontId="14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5" fillId="3" borderId="12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wrapText="1"/>
    </xf>
    <xf numFmtId="0" fontId="15" fillId="0" borderId="12" xfId="0" applyFont="1" applyBorder="1" applyAlignment="1">
      <alignment horizontal="center" vertical="center"/>
    </xf>
    <xf numFmtId="0" fontId="15" fillId="4" borderId="12" xfId="0" applyFont="1" applyFill="1" applyBorder="1" applyAlignment="1">
      <alignment horizontal="left" vertical="center" wrapText="1"/>
    </xf>
    <xf numFmtId="0" fontId="14" fillId="4" borderId="12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0" fontId="14" fillId="0" borderId="12" xfId="0" applyFont="1" applyBorder="1"/>
    <xf numFmtId="0" fontId="14" fillId="0" borderId="12" xfId="0" applyFont="1" applyBorder="1" applyAlignment="1">
      <alignment wrapText="1"/>
    </xf>
    <xf numFmtId="0" fontId="14" fillId="0" borderId="12" xfId="0" applyFont="1" applyBorder="1" applyAlignment="1">
      <alignment horizontal="center"/>
    </xf>
    <xf numFmtId="0" fontId="15" fillId="5" borderId="12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wrapText="1"/>
    </xf>
    <xf numFmtId="0" fontId="14" fillId="6" borderId="12" xfId="0" applyFont="1" applyFill="1" applyBorder="1" applyAlignment="1">
      <alignment horizontal="center" vertical="center"/>
    </xf>
    <xf numFmtId="0" fontId="14" fillId="6" borderId="12" xfId="0" applyFont="1" applyFill="1" applyBorder="1"/>
    <xf numFmtId="0" fontId="14" fillId="5" borderId="12" xfId="0" applyFont="1" applyFill="1" applyBorder="1" applyAlignment="1">
      <alignment horizontal="center"/>
    </xf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 wrapText="1"/>
    </xf>
    <xf numFmtId="0" fontId="15" fillId="6" borderId="12" xfId="0" applyFont="1" applyFill="1" applyBorder="1" applyAlignment="1">
      <alignment vertical="center"/>
    </xf>
    <xf numFmtId="0" fontId="14" fillId="6" borderId="12" xfId="0" applyFont="1" applyFill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2" xfId="0" applyFont="1" applyBorder="1" applyAlignment="1">
      <alignment vertical="center"/>
    </xf>
    <xf numFmtId="0" fontId="15" fillId="6" borderId="12" xfId="0" applyFont="1" applyFill="1" applyBorder="1"/>
    <xf numFmtId="0" fontId="16" fillId="7" borderId="12" xfId="0" applyFont="1" applyFill="1" applyBorder="1" applyAlignment="1">
      <alignment wrapText="1"/>
    </xf>
    <xf numFmtId="0" fontId="17" fillId="7" borderId="12" xfId="0" applyFont="1" applyFill="1" applyBorder="1"/>
    <xf numFmtId="0" fontId="16" fillId="7" borderId="12" xfId="0" applyFont="1" applyFill="1" applyBorder="1"/>
    <xf numFmtId="0" fontId="17" fillId="7" borderId="12" xfId="0" applyFont="1" applyFill="1" applyBorder="1" applyAlignment="1">
      <alignment horizontal="center"/>
    </xf>
    <xf numFmtId="0" fontId="14" fillId="7" borderId="12" xfId="0" applyFont="1" applyFill="1" applyBorder="1"/>
    <xf numFmtId="0" fontId="16" fillId="8" borderId="12" xfId="0" applyFont="1" applyFill="1" applyBorder="1" applyAlignment="1">
      <alignment wrapText="1"/>
    </xf>
    <xf numFmtId="0" fontId="17" fillId="8" borderId="12" xfId="0" applyFont="1" applyFill="1" applyBorder="1"/>
    <xf numFmtId="0" fontId="16" fillId="5" borderId="12" xfId="0" applyFont="1" applyFill="1" applyBorder="1" applyAlignment="1">
      <alignment horizontal="center" vertical="center"/>
    </xf>
    <xf numFmtId="0" fontId="16" fillId="8" borderId="12" xfId="0" applyFont="1" applyFill="1" applyBorder="1"/>
    <xf numFmtId="0" fontId="18" fillId="0" borderId="0" xfId="0" applyFont="1"/>
    <xf numFmtId="0" fontId="19" fillId="3" borderId="23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0" xfId="0" applyFont="1" applyAlignment="1">
      <alignment horizontal="right"/>
    </xf>
    <xf numFmtId="0" fontId="18" fillId="0" borderId="12" xfId="0" applyFont="1" applyBorder="1" applyAlignment="1">
      <alignment horizontal="right" vertical="center"/>
    </xf>
    <xf numFmtId="0" fontId="18" fillId="0" borderId="12" xfId="0" applyFont="1" applyBorder="1" applyAlignment="1">
      <alignment horizontal="left" vertical="center" wrapText="1"/>
    </xf>
    <xf numFmtId="0" fontId="20" fillId="7" borderId="12" xfId="0" applyFont="1" applyFill="1" applyBorder="1" applyAlignment="1">
      <alignment horizontal="left" vertical="center" wrapText="1"/>
    </xf>
    <xf numFmtId="0" fontId="21" fillId="7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right" vertical="center"/>
    </xf>
    <xf numFmtId="0" fontId="19" fillId="0" borderId="12" xfId="0" applyFont="1" applyBorder="1" applyAlignment="1">
      <alignment horizontal="left" vertical="center"/>
    </xf>
    <xf numFmtId="0" fontId="20" fillId="9" borderId="23" xfId="0" applyFont="1" applyFill="1" applyBorder="1" applyAlignment="1">
      <alignment horizontal="left" vertical="center" wrapText="1"/>
    </xf>
    <xf numFmtId="0" fontId="21" fillId="9" borderId="23" xfId="0" applyFont="1" applyFill="1" applyBorder="1" applyAlignment="1">
      <alignment horizontal="center" vertical="center"/>
    </xf>
    <xf numFmtId="0" fontId="21" fillId="9" borderId="23" xfId="0" applyFont="1" applyFill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/>
    </xf>
    <xf numFmtId="16" fontId="15" fillId="4" borderId="12" xfId="0" applyNumberFormat="1" applyFont="1" applyFill="1" applyBorder="1" applyAlignment="1">
      <alignment horizontal="center"/>
    </xf>
    <xf numFmtId="0" fontId="18" fillId="10" borderId="12" xfId="0" applyFont="1" applyFill="1" applyBorder="1"/>
    <xf numFmtId="0" fontId="18" fillId="11" borderId="12" xfId="0" applyFont="1" applyFill="1" applyBorder="1"/>
    <xf numFmtId="0" fontId="19" fillId="4" borderId="10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1" fillId="12" borderId="23" xfId="0" applyFont="1" applyFill="1" applyBorder="1" applyAlignment="1">
      <alignment horizontal="left" vertical="top" wrapText="1"/>
    </xf>
    <xf numFmtId="0" fontId="20" fillId="12" borderId="23" xfId="0" applyFont="1" applyFill="1" applyBorder="1" applyAlignment="1">
      <alignment horizontal="center" vertical="center" wrapText="1"/>
    </xf>
    <xf numFmtId="0" fontId="21" fillId="12" borderId="23" xfId="0" applyFont="1" applyFill="1" applyBorder="1"/>
    <xf numFmtId="0" fontId="20" fillId="12" borderId="24" xfId="0" applyFont="1" applyFill="1" applyBorder="1" applyAlignment="1">
      <alignment horizontal="left" vertical="top" wrapText="1"/>
    </xf>
    <xf numFmtId="0" fontId="20" fillId="12" borderId="24" xfId="0" applyFont="1" applyFill="1" applyBorder="1" applyAlignment="1">
      <alignment horizontal="center" vertical="center" wrapText="1"/>
    </xf>
    <xf numFmtId="0" fontId="21" fillId="12" borderId="24" xfId="0" applyFont="1" applyFill="1" applyBorder="1"/>
    <xf numFmtId="0" fontId="19" fillId="0" borderId="12" xfId="0" applyFont="1" applyBorder="1"/>
    <xf numFmtId="0" fontId="18" fillId="0" borderId="12" xfId="0" applyFont="1" applyBorder="1"/>
    <xf numFmtId="0" fontId="20" fillId="7" borderId="12" xfId="0" applyFont="1" applyFill="1" applyBorder="1" applyAlignment="1">
      <alignment wrapText="1"/>
    </xf>
    <xf numFmtId="0" fontId="20" fillId="7" borderId="12" xfId="0" applyFont="1" applyFill="1" applyBorder="1" applyAlignment="1">
      <alignment horizontal="center" vertical="center"/>
    </xf>
    <xf numFmtId="0" fontId="21" fillId="7" borderId="12" xfId="0" applyFont="1" applyFill="1" applyBorder="1"/>
    <xf numFmtId="0" fontId="18" fillId="0" borderId="12" xfId="0" applyFont="1" applyBorder="1" applyAlignment="1">
      <alignment horizontal="center"/>
    </xf>
    <xf numFmtId="0" fontId="18" fillId="0" borderId="12" xfId="0" applyFont="1" applyBorder="1" applyAlignment="1">
      <alignment wrapText="1"/>
    </xf>
    <xf numFmtId="0" fontId="18" fillId="0" borderId="12" xfId="0" applyFont="1" applyBorder="1" applyAlignment="1">
      <alignment vertical="center" wrapText="1"/>
    </xf>
    <xf numFmtId="0" fontId="21" fillId="7" borderId="12" xfId="0" applyFont="1" applyFill="1" applyBorder="1" applyAlignment="1">
      <alignment wrapText="1"/>
    </xf>
    <xf numFmtId="0" fontId="19" fillId="0" borderId="12" xfId="0" applyFont="1" applyBorder="1" applyAlignment="1">
      <alignment vertical="center" wrapText="1"/>
    </xf>
    <xf numFmtId="0" fontId="19" fillId="13" borderId="12" xfId="0" applyFont="1" applyFill="1" applyBorder="1" applyAlignment="1">
      <alignment wrapText="1"/>
    </xf>
    <xf numFmtId="0" fontId="19" fillId="13" borderId="12" xfId="0" applyFont="1" applyFill="1" applyBorder="1" applyAlignment="1">
      <alignment horizontal="center" vertical="center"/>
    </xf>
    <xf numFmtId="0" fontId="18" fillId="13" borderId="12" xfId="0" applyFont="1" applyFill="1" applyBorder="1"/>
    <xf numFmtId="0" fontId="19" fillId="13" borderId="12" xfId="0" applyFont="1" applyFill="1" applyBorder="1"/>
    <xf numFmtId="0" fontId="20" fillId="12" borderId="12" xfId="0" applyFont="1" applyFill="1" applyBorder="1" applyAlignment="1">
      <alignment wrapText="1"/>
    </xf>
    <xf numFmtId="0" fontId="20" fillId="12" borderId="12" xfId="0" applyFont="1" applyFill="1" applyBorder="1" applyAlignment="1">
      <alignment horizontal="center" vertical="center"/>
    </xf>
    <xf numFmtId="0" fontId="21" fillId="12" borderId="12" xfId="0" applyFont="1" applyFill="1" applyBorder="1"/>
    <xf numFmtId="0" fontId="21" fillId="12" borderId="12" xfId="0" applyFont="1" applyFill="1" applyBorder="1" applyAlignment="1">
      <alignment wrapText="1"/>
    </xf>
    <xf numFmtId="0" fontId="22" fillId="0" borderId="0" xfId="0" applyFont="1"/>
    <xf numFmtId="0" fontId="18" fillId="0" borderId="0" xfId="0" applyFont="1" applyAlignment="1">
      <alignment wrapText="1"/>
    </xf>
    <xf numFmtId="0" fontId="18" fillId="3" borderId="12" xfId="0" applyFont="1" applyFill="1" applyBorder="1" applyAlignment="1">
      <alignment horizontal="center" vertical="center"/>
    </xf>
    <xf numFmtId="0" fontId="19" fillId="14" borderId="12" xfId="0" applyFont="1" applyFill="1" applyBorder="1" applyAlignment="1">
      <alignment horizontal="center"/>
    </xf>
    <xf numFmtId="0" fontId="19" fillId="0" borderId="12" xfId="0" applyFont="1" applyBorder="1" applyAlignment="1">
      <alignment horizontal="left" vertical="top" wrapText="1"/>
    </xf>
    <xf numFmtId="0" fontId="19" fillId="0" borderId="12" xfId="0" applyFont="1" applyBorder="1" applyAlignment="1">
      <alignment wrapText="1"/>
    </xf>
    <xf numFmtId="0" fontId="19" fillId="3" borderId="10" xfId="0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0" fontId="19" fillId="3" borderId="25" xfId="0" applyFont="1" applyFill="1" applyBorder="1" applyAlignment="1">
      <alignment horizontal="center"/>
    </xf>
    <xf numFmtId="0" fontId="19" fillId="15" borderId="10" xfId="0" applyFont="1" applyFill="1" applyBorder="1" applyAlignment="1">
      <alignment horizontal="center"/>
    </xf>
    <xf numFmtId="0" fontId="19" fillId="15" borderId="11" xfId="0" applyFont="1" applyFill="1" applyBorder="1" applyAlignment="1">
      <alignment horizontal="center"/>
    </xf>
    <xf numFmtId="0" fontId="19" fillId="15" borderId="25" xfId="0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4" borderId="25" xfId="0" applyFont="1" applyFill="1" applyBorder="1" applyAlignment="1">
      <alignment horizontal="center"/>
    </xf>
    <xf numFmtId="0" fontId="19" fillId="16" borderId="12" xfId="0" applyFont="1" applyFill="1" applyBorder="1"/>
    <xf numFmtId="0" fontId="19" fillId="16" borderId="12" xfId="0" applyFont="1" applyFill="1" applyBorder="1" applyAlignment="1">
      <alignment wrapText="1"/>
    </xf>
    <xf numFmtId="0" fontId="18" fillId="3" borderId="12" xfId="0" applyFont="1" applyFill="1" applyBorder="1" applyAlignment="1">
      <alignment horizontal="center" vertical="center" wrapText="1"/>
    </xf>
    <xf numFmtId="0" fontId="23" fillId="0" borderId="12" xfId="0" applyFont="1" applyBorder="1"/>
    <xf numFmtId="0" fontId="19" fillId="13" borderId="12" xfId="0" applyFont="1" applyFill="1" applyBorder="1" applyAlignment="1">
      <alignment horizontal="right"/>
    </xf>
    <xf numFmtId="0" fontId="18" fillId="13" borderId="12" xfId="0" applyFont="1" applyFill="1" applyBorder="1" applyAlignment="1">
      <alignment horizontal="center" vertical="center"/>
    </xf>
    <xf numFmtId="0" fontId="18" fillId="17" borderId="12" xfId="0" applyFont="1" applyFill="1" applyBorder="1"/>
    <xf numFmtId="0" fontId="19" fillId="13" borderId="12" xfId="0" applyFont="1" applyFill="1" applyBorder="1" applyAlignment="1">
      <alignment horizontal="right" vertical="top"/>
    </xf>
    <xf numFmtId="0" fontId="20" fillId="7" borderId="12" xfId="0" applyFont="1" applyFill="1" applyBorder="1" applyAlignment="1">
      <alignment horizontal="right"/>
    </xf>
    <xf numFmtId="0" fontId="18" fillId="18" borderId="12" xfId="0" applyFont="1" applyFill="1" applyBorder="1" applyAlignment="1">
      <alignment horizontal="center" vertical="center"/>
    </xf>
    <xf numFmtId="0" fontId="18" fillId="18" borderId="12" xfId="0" applyFont="1" applyFill="1" applyBorder="1"/>
    <xf numFmtId="0" fontId="18" fillId="0" borderId="10" xfId="0" applyFont="1" applyBorder="1"/>
    <xf numFmtId="0" fontId="18" fillId="0" borderId="11" xfId="0" applyFont="1" applyBorder="1"/>
    <xf numFmtId="0" fontId="18" fillId="0" borderId="25" xfId="0" applyFont="1" applyBorder="1"/>
    <xf numFmtId="0" fontId="20" fillId="7" borderId="10" xfId="0" applyFont="1" applyFill="1" applyBorder="1" applyAlignment="1">
      <alignment horizontal="center" vertical="center"/>
    </xf>
    <xf numFmtId="0" fontId="20" fillId="7" borderId="11" xfId="0" applyFont="1" applyFill="1" applyBorder="1" applyAlignment="1">
      <alignment horizontal="center" vertical="center"/>
    </xf>
    <xf numFmtId="0" fontId="20" fillId="7" borderId="25" xfId="0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/>
    </xf>
    <xf numFmtId="0" fontId="20" fillId="7" borderId="11" xfId="0" applyFont="1" applyFill="1" applyBorder="1" applyAlignment="1">
      <alignment horizontal="center"/>
    </xf>
    <xf numFmtId="0" fontId="20" fillId="7" borderId="25" xfId="0" applyFont="1" applyFill="1" applyBorder="1" applyAlignment="1">
      <alignment horizontal="center"/>
    </xf>
    <xf numFmtId="0" fontId="24" fillId="0" borderId="0" xfId="0" applyFont="1"/>
    <xf numFmtId="0" fontId="18" fillId="19" borderId="12" xfId="0" applyFont="1" applyFill="1" applyBorder="1" applyAlignment="1">
      <alignment horizontal="center"/>
    </xf>
    <xf numFmtId="0" fontId="18" fillId="0" borderId="26" xfId="0" applyFont="1" applyBorder="1"/>
    <xf numFmtId="0" fontId="18" fillId="0" borderId="26" xfId="0" applyFont="1" applyBorder="1" applyAlignment="1">
      <alignment wrapText="1"/>
    </xf>
    <xf numFmtId="0" fontId="18" fillId="19" borderId="12" xfId="0" applyFont="1" applyFill="1" applyBorder="1" applyAlignment="1">
      <alignment horizontal="center" vertical="center" wrapText="1"/>
    </xf>
    <xf numFmtId="0" fontId="18" fillId="19" borderId="12" xfId="0" applyFont="1" applyFill="1" applyBorder="1" applyAlignment="1">
      <alignment horizontal="center" vertical="center"/>
    </xf>
    <xf numFmtId="0" fontId="18" fillId="0" borderId="24" xfId="0" applyFont="1" applyBorder="1"/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 wrapText="1" indent="5"/>
    </xf>
    <xf numFmtId="0" fontId="22" fillId="0" borderId="0" xfId="0" applyFont="1" applyAlignment="1">
      <alignment vertical="center"/>
    </xf>
    <xf numFmtId="0" fontId="19" fillId="5" borderId="0" xfId="0" applyFont="1" applyFill="1" applyAlignment="1">
      <alignment horizontal="center" wrapText="1"/>
    </xf>
    <xf numFmtId="0" fontId="18" fillId="20" borderId="23" xfId="0" applyFont="1" applyFill="1" applyBorder="1" applyAlignment="1">
      <alignment horizontal="left" vertical="top" wrapText="1"/>
    </xf>
    <xf numFmtId="0" fontId="18" fillId="20" borderId="26" xfId="0" applyFont="1" applyFill="1" applyBorder="1" applyAlignment="1">
      <alignment horizontal="left" vertical="top" wrapText="1"/>
    </xf>
    <xf numFmtId="0" fontId="18" fillId="20" borderId="26" xfId="0" applyFont="1" applyFill="1" applyBorder="1" applyAlignment="1">
      <alignment wrapText="1"/>
    </xf>
    <xf numFmtId="0" fontId="18" fillId="20" borderId="24" xfId="0" applyFont="1" applyFill="1" applyBorder="1" applyAlignment="1">
      <alignment wrapText="1"/>
    </xf>
    <xf numFmtId="0" fontId="19" fillId="6" borderId="26" xfId="0" applyFont="1" applyFill="1" applyBorder="1" applyAlignment="1">
      <alignment wrapText="1"/>
    </xf>
    <xf numFmtId="0" fontId="18" fillId="0" borderId="23" xfId="0" applyFont="1" applyBorder="1" applyAlignment="1">
      <alignment horizontal="left" vertical="top" wrapText="1"/>
    </xf>
    <xf numFmtId="0" fontId="18" fillId="0" borderId="26" xfId="0" applyFont="1" applyBorder="1" applyAlignment="1">
      <alignment horizontal="left" vertical="top" wrapText="1"/>
    </xf>
    <xf numFmtId="0" fontId="18" fillId="0" borderId="24" xfId="0" applyFont="1" applyBorder="1" applyAlignment="1">
      <alignment horizontal="left" vertical="top" wrapText="1"/>
    </xf>
    <xf numFmtId="0" fontId="18" fillId="6" borderId="12" xfId="0" applyFont="1" applyFill="1" applyBorder="1" applyAlignment="1">
      <alignment horizontal="left" vertical="top" wrapText="1"/>
    </xf>
    <xf numFmtId="0" fontId="18" fillId="5" borderId="23" xfId="0" applyFont="1" applyFill="1" applyBorder="1" applyAlignment="1">
      <alignment horizontal="left" vertical="top" wrapText="1"/>
    </xf>
    <xf numFmtId="0" fontId="18" fillId="5" borderId="26" xfId="0" applyFont="1" applyFill="1" applyBorder="1" applyAlignment="1">
      <alignment horizontal="left" vertical="top" wrapText="1"/>
    </xf>
    <xf numFmtId="0" fontId="18" fillId="5" borderId="24" xfId="0" applyFont="1" applyFill="1" applyBorder="1" applyAlignment="1">
      <alignment horizontal="left" vertical="top" wrapText="1"/>
    </xf>
    <xf numFmtId="0" fontId="19" fillId="0" borderId="23" xfId="0" applyFont="1" applyBorder="1" applyAlignment="1">
      <alignment wrapText="1"/>
    </xf>
    <xf numFmtId="0" fontId="18" fillId="0" borderId="24" xfId="0" applyFont="1" applyBorder="1" applyAlignment="1">
      <alignment wrapText="1"/>
    </xf>
    <xf numFmtId="0" fontId="27" fillId="0" borderId="27" xfId="0" applyFont="1" applyBorder="1" applyAlignment="1">
      <alignment vertical="center"/>
    </xf>
    <xf numFmtId="0" fontId="19" fillId="21" borderId="28" xfId="0" applyFont="1" applyFill="1" applyBorder="1" applyAlignment="1">
      <alignment horizontal="center" vertical="center"/>
    </xf>
    <xf numFmtId="0" fontId="28" fillId="0" borderId="29" xfId="0" applyFont="1" applyBorder="1" applyAlignment="1">
      <alignment vertical="center"/>
    </xf>
    <xf numFmtId="0" fontId="19" fillId="0" borderId="29" xfId="0" applyFont="1" applyBorder="1" applyAlignment="1">
      <alignment horizontal="left" vertical="center" indent="5"/>
    </xf>
    <xf numFmtId="0" fontId="18" fillId="0" borderId="29" xfId="0" applyFont="1" applyBorder="1" applyAlignment="1">
      <alignment horizontal="left" vertical="center" wrapText="1" indent="5"/>
    </xf>
    <xf numFmtId="0" fontId="29" fillId="0" borderId="29" xfId="0" applyFont="1" applyBorder="1" applyAlignment="1">
      <alignment horizontal="left" vertical="center" wrapText="1" indent="5"/>
    </xf>
    <xf numFmtId="0" fontId="29" fillId="0" borderId="29" xfId="0" applyFont="1" applyBorder="1" applyAlignment="1">
      <alignment vertical="center"/>
    </xf>
    <xf numFmtId="0" fontId="19" fillId="0" borderId="29" xfId="0" applyFont="1" applyBorder="1" applyAlignment="1">
      <alignment horizontal="left" vertical="center" indent="4"/>
    </xf>
    <xf numFmtId="0" fontId="29" fillId="0" borderId="29" xfId="0" applyFont="1" applyBorder="1" applyAlignment="1">
      <alignment horizontal="left" vertical="center" indent="5"/>
    </xf>
    <xf numFmtId="0" fontId="19" fillId="21" borderId="27" xfId="0" applyFont="1" applyFill="1" applyBorder="1" applyAlignment="1">
      <alignment horizontal="center" vertical="center"/>
    </xf>
    <xf numFmtId="0" fontId="28" fillId="0" borderId="29" xfId="0" applyFont="1" applyBorder="1" applyAlignment="1">
      <alignment vertical="center" wrapText="1"/>
    </xf>
    <xf numFmtId="0" fontId="28" fillId="0" borderId="29" xfId="0" applyFont="1" applyBorder="1" applyAlignment="1">
      <alignment horizontal="justify" vertical="center" wrapText="1"/>
    </xf>
    <xf numFmtId="0" fontId="29" fillId="0" borderId="30" xfId="0" applyFont="1" applyBorder="1" applyAlignment="1">
      <alignment horizontal="left" vertical="center" wrapText="1" indent="5"/>
    </xf>
    <xf numFmtId="0" fontId="18" fillId="3" borderId="23" xfId="0" applyFont="1" applyFill="1" applyBorder="1" applyAlignment="1">
      <alignment horizontal="right"/>
    </xf>
    <xf numFmtId="0" fontId="19" fillId="3" borderId="12" xfId="0" applyFont="1" applyFill="1" applyBorder="1" applyAlignment="1">
      <alignment horizontal="center"/>
    </xf>
    <xf numFmtId="0" fontId="19" fillId="3" borderId="24" xfId="0" applyFont="1" applyFill="1" applyBorder="1" applyAlignment="1">
      <alignment horizontal="left"/>
    </xf>
    <xf numFmtId="0" fontId="19" fillId="3" borderId="24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left"/>
    </xf>
    <xf numFmtId="0" fontId="18" fillId="6" borderId="12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left"/>
    </xf>
    <xf numFmtId="0" fontId="18" fillId="0" borderId="12" xfId="0" applyFont="1" applyBorder="1" applyAlignment="1">
      <alignment horizontal="center" vertical="center" wrapText="1"/>
    </xf>
    <xf numFmtId="0" fontId="18" fillId="5" borderId="24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left" vertical="center" wrapText="1"/>
    </xf>
    <xf numFmtId="0" fontId="18" fillId="6" borderId="12" xfId="0" applyFont="1" applyFill="1" applyBorder="1"/>
    <xf numFmtId="0" fontId="18" fillId="6" borderId="12" xfId="0" applyFont="1" applyFill="1" applyBorder="1" applyAlignment="1">
      <alignment horizontal="center" vertical="center"/>
    </xf>
    <xf numFmtId="0" fontId="18" fillId="0" borderId="23" xfId="0" applyFont="1" applyBorder="1"/>
    <xf numFmtId="0" fontId="18" fillId="5" borderId="12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20" fillId="7" borderId="12" xfId="0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0" fontId="19" fillId="3" borderId="23" xfId="0" applyFont="1" applyFill="1" applyBorder="1" applyAlignment="1">
      <alignment horizontal="right"/>
    </xf>
    <xf numFmtId="0" fontId="19" fillId="3" borderId="31" xfId="0" applyFont="1" applyFill="1" applyBorder="1" applyAlignment="1">
      <alignment horizontal="center"/>
    </xf>
    <xf numFmtId="0" fontId="19" fillId="3" borderId="32" xfId="0" applyFont="1" applyFill="1" applyBorder="1" applyAlignment="1">
      <alignment horizontal="center"/>
    </xf>
    <xf numFmtId="0" fontId="19" fillId="3" borderId="24" xfId="0" applyFont="1" applyFill="1" applyBorder="1"/>
    <xf numFmtId="0" fontId="19" fillId="3" borderId="10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9" fillId="3" borderId="32" xfId="0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18" fillId="13" borderId="10" xfId="0" applyFont="1" applyFill="1" applyBorder="1"/>
    <xf numFmtId="0" fontId="18" fillId="13" borderId="31" xfId="0" applyFont="1" applyFill="1" applyBorder="1"/>
    <xf numFmtId="0" fontId="18" fillId="13" borderId="32" xfId="0" applyFont="1" applyFill="1" applyBorder="1"/>
    <xf numFmtId="0" fontId="18" fillId="13" borderId="25" xfId="0" applyFont="1" applyFill="1" applyBorder="1"/>
    <xf numFmtId="0" fontId="18" fillId="0" borderId="31" xfId="0" applyFont="1" applyBorder="1"/>
    <xf numFmtId="0" fontId="18" fillId="0" borderId="32" xfId="0" applyFont="1" applyBorder="1"/>
    <xf numFmtId="0" fontId="18" fillId="5" borderId="25" xfId="0" applyFont="1" applyFill="1" applyBorder="1"/>
    <xf numFmtId="0" fontId="30" fillId="7" borderId="12" xfId="0" applyFont="1" applyFill="1" applyBorder="1"/>
    <xf numFmtId="0" fontId="31" fillId="7" borderId="10" xfId="0" applyFont="1" applyFill="1" applyBorder="1"/>
    <xf numFmtId="0" fontId="31" fillId="7" borderId="31" xfId="0" applyFont="1" applyFill="1" applyBorder="1"/>
    <xf numFmtId="0" fontId="31" fillId="7" borderId="12" xfId="0" applyFont="1" applyFill="1" applyBorder="1"/>
    <xf numFmtId="0" fontId="31" fillId="7" borderId="32" xfId="0" applyFont="1" applyFill="1" applyBorder="1"/>
    <xf numFmtId="0" fontId="31" fillId="7" borderId="25" xfId="0" applyFont="1" applyFill="1" applyBorder="1"/>
    <xf numFmtId="0" fontId="32" fillId="0" borderId="0" xfId="0" applyFont="1"/>
    <xf numFmtId="0" fontId="33" fillId="0" borderId="0" xfId="0" applyFont="1"/>
    <xf numFmtId="0" fontId="18" fillId="4" borderId="23" xfId="0" applyFont="1" applyFill="1" applyBorder="1" applyAlignment="1">
      <alignment horizontal="right"/>
    </xf>
    <xf numFmtId="0" fontId="19" fillId="4" borderId="23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/>
    </xf>
    <xf numFmtId="0" fontId="19" fillId="4" borderId="33" xfId="0" applyFont="1" applyFill="1" applyBorder="1" applyAlignment="1">
      <alignment horizontal="center"/>
    </xf>
    <xf numFmtId="0" fontId="19" fillId="4" borderId="34" xfId="0" applyFont="1" applyFill="1" applyBorder="1" applyAlignment="1">
      <alignment horizontal="center"/>
    </xf>
    <xf numFmtId="0" fontId="19" fillId="4" borderId="31" xfId="0" applyFont="1" applyFill="1" applyBorder="1" applyAlignment="1">
      <alignment horizontal="center"/>
    </xf>
    <xf numFmtId="0" fontId="19" fillId="4" borderId="24" xfId="0" applyFont="1" applyFill="1" applyBorder="1" applyAlignment="1">
      <alignment horizontal="center"/>
    </xf>
    <xf numFmtId="0" fontId="19" fillId="4" borderId="24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19" fillId="4" borderId="31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right" vertical="center" wrapText="1"/>
    </xf>
    <xf numFmtId="0" fontId="19" fillId="22" borderId="13" xfId="0" applyFont="1" applyFill="1" applyBorder="1" applyAlignment="1">
      <alignment horizontal="right" vertical="center"/>
    </xf>
    <xf numFmtId="0" fontId="19" fillId="22" borderId="12" xfId="0" applyFont="1" applyFill="1" applyBorder="1" applyAlignment="1">
      <alignment horizontal="center"/>
    </xf>
    <xf numFmtId="0" fontId="19" fillId="22" borderId="18" xfId="0" applyFont="1" applyFill="1" applyBorder="1" applyAlignment="1">
      <alignment horizontal="right" vertical="center"/>
    </xf>
    <xf numFmtId="0" fontId="19" fillId="22" borderId="23" xfId="0" applyFont="1" applyFill="1" applyBorder="1" applyAlignment="1">
      <alignment horizontal="center" vertical="center" wrapText="1"/>
    </xf>
    <xf numFmtId="0" fontId="19" fillId="22" borderId="24" xfId="0" applyFont="1" applyFill="1" applyBorder="1" applyAlignment="1">
      <alignment horizontal="center"/>
    </xf>
    <xf numFmtId="0" fontId="19" fillId="22" borderId="26" xfId="0" applyFont="1" applyFill="1" applyBorder="1" applyAlignment="1">
      <alignment horizontal="center" vertical="center" wrapText="1"/>
    </xf>
    <xf numFmtId="0" fontId="19" fillId="22" borderId="24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wrapText="1"/>
    </xf>
    <xf numFmtId="0" fontId="19" fillId="13" borderId="25" xfId="0" applyFont="1" applyFill="1" applyBorder="1" applyAlignment="1">
      <alignment vertical="center" wrapText="1"/>
    </xf>
    <xf numFmtId="0" fontId="19" fillId="13" borderId="12" xfId="0" applyFont="1" applyFill="1" applyBorder="1" applyAlignment="1">
      <alignment vertical="center" wrapText="1"/>
    </xf>
    <xf numFmtId="0" fontId="18" fillId="0" borderId="23" xfId="0" applyFont="1" applyBorder="1" applyAlignment="1">
      <alignment horizontal="left" vertical="center"/>
    </xf>
    <xf numFmtId="0" fontId="19" fillId="13" borderId="12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right" vertical="top"/>
    </xf>
    <xf numFmtId="0" fontId="19" fillId="22" borderId="23" xfId="0" applyFont="1" applyFill="1" applyBorder="1" applyAlignment="1">
      <alignment horizontal="right" vertical="center"/>
    </xf>
    <xf numFmtId="0" fontId="19" fillId="22" borderId="23" xfId="0" applyFont="1" applyFill="1" applyBorder="1" applyAlignment="1">
      <alignment horizontal="center" vertical="center"/>
    </xf>
    <xf numFmtId="0" fontId="19" fillId="22" borderId="13" xfId="0" applyFont="1" applyFill="1" applyBorder="1" applyAlignment="1">
      <alignment horizontal="center" vertical="center"/>
    </xf>
    <xf numFmtId="0" fontId="19" fillId="22" borderId="35" xfId="0" applyFont="1" applyFill="1" applyBorder="1" applyAlignment="1">
      <alignment horizontal="center" vertical="center"/>
    </xf>
    <xf numFmtId="0" fontId="19" fillId="22" borderId="26" xfId="0" applyFont="1" applyFill="1" applyBorder="1" applyAlignment="1">
      <alignment horizontal="right" vertical="center"/>
    </xf>
    <xf numFmtId="0" fontId="19" fillId="22" borderId="24" xfId="0" applyFont="1" applyFill="1" applyBorder="1" applyAlignment="1">
      <alignment horizontal="center" vertical="center"/>
    </xf>
    <xf numFmtId="0" fontId="19" fillId="22" borderId="16" xfId="0" applyFont="1" applyFill="1" applyBorder="1" applyAlignment="1">
      <alignment horizontal="center" vertical="center"/>
    </xf>
    <xf numFmtId="0" fontId="19" fillId="22" borderId="19" xfId="0" applyFont="1" applyFill="1" applyBorder="1" applyAlignment="1">
      <alignment horizontal="center" vertical="center"/>
    </xf>
    <xf numFmtId="0" fontId="19" fillId="22" borderId="26" xfId="0" applyFont="1" applyFill="1" applyBorder="1" applyAlignment="1">
      <alignment horizontal="center"/>
    </xf>
    <xf numFmtId="0" fontId="19" fillId="22" borderId="10" xfId="0" applyFont="1" applyFill="1" applyBorder="1" applyAlignment="1">
      <alignment horizontal="center" vertical="center"/>
    </xf>
    <xf numFmtId="0" fontId="19" fillId="22" borderId="25" xfId="0" applyFont="1" applyFill="1" applyBorder="1" applyAlignment="1">
      <alignment horizontal="center" vertical="center"/>
    </xf>
    <xf numFmtId="0" fontId="19" fillId="22" borderId="12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vertical="center"/>
    </xf>
    <xf numFmtId="0" fontId="18" fillId="0" borderId="13" xfId="0" applyFont="1" applyBorder="1"/>
    <xf numFmtId="0" fontId="19" fillId="22" borderId="23" xfId="0" applyFont="1" applyFill="1" applyBorder="1" applyAlignment="1">
      <alignment horizontal="center"/>
    </xf>
    <xf numFmtId="0" fontId="19" fillId="22" borderId="12" xfId="0" applyFont="1" applyFill="1" applyBorder="1" applyAlignment="1">
      <alignment horizontal="center" vertical="center"/>
    </xf>
    <xf numFmtId="0" fontId="19" fillId="22" borderId="24" xfId="0" applyFont="1" applyFill="1" applyBorder="1" applyAlignment="1">
      <alignment horizontal="left" vertical="center"/>
    </xf>
    <xf numFmtId="0" fontId="18" fillId="0" borderId="12" xfId="0" applyFont="1" applyBorder="1" applyAlignment="1">
      <alignment horizontal="right"/>
    </xf>
    <xf numFmtId="0" fontId="19" fillId="6" borderId="12" xfId="0" applyFont="1" applyFill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right"/>
    </xf>
    <xf numFmtId="0" fontId="18" fillId="0" borderId="12" xfId="0" applyFont="1" applyBorder="1" applyAlignment="1">
      <alignment horizontal="left" vertical="top" wrapText="1"/>
    </xf>
    <xf numFmtId="0" fontId="20" fillId="7" borderId="24" xfId="0" applyFont="1" applyFill="1" applyBorder="1" applyAlignment="1">
      <alignment horizontal="center" vertical="center"/>
    </xf>
    <xf numFmtId="0" fontId="21" fillId="7" borderId="24" xfId="0" applyFont="1" applyFill="1" applyBorder="1"/>
    <xf numFmtId="0" fontId="21" fillId="7" borderId="24" xfId="0" applyFont="1" applyFill="1" applyBorder="1" applyAlignment="1">
      <alignment horizontal="right"/>
    </xf>
    <xf numFmtId="0" fontId="18" fillId="0" borderId="13" xfId="0" applyFont="1" applyBorder="1" applyAlignment="1">
      <alignment horizontal="left" vertical="top" wrapText="1"/>
    </xf>
    <xf numFmtId="0" fontId="19" fillId="22" borderId="23" xfId="0" applyFont="1" applyFill="1" applyBorder="1" applyAlignment="1">
      <alignment horizontal="center" vertical="top"/>
    </xf>
    <xf numFmtId="0" fontId="19" fillId="22" borderId="26" xfId="0" applyFont="1" applyFill="1" applyBorder="1" applyAlignment="1">
      <alignment horizontal="center" vertical="top"/>
    </xf>
    <xf numFmtId="0" fontId="19" fillId="22" borderId="24" xfId="0" applyFont="1" applyFill="1" applyBorder="1" applyAlignment="1">
      <alignment horizontal="left"/>
    </xf>
    <xf numFmtId="0" fontId="19" fillId="13" borderId="1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right" vertical="center"/>
    </xf>
    <xf numFmtId="0" fontId="19" fillId="0" borderId="12" xfId="0" applyFont="1" applyBorder="1" applyAlignment="1">
      <alignment horizontal="left" vertical="top"/>
    </xf>
    <xf numFmtId="0" fontId="19" fillId="13" borderId="12" xfId="0" applyFont="1" applyFill="1" applyBorder="1" applyAlignment="1">
      <alignment horizontal="right" vertical="top" wrapText="1"/>
    </xf>
    <xf numFmtId="0" fontId="18" fillId="13" borderId="12" xfId="0" applyFont="1" applyFill="1" applyBorder="1" applyAlignment="1">
      <alignment wrapText="1"/>
    </xf>
    <xf numFmtId="0" fontId="20" fillId="7" borderId="12" xfId="0" applyFont="1" applyFill="1" applyBorder="1" applyAlignment="1">
      <alignment horizontal="left" vertical="top"/>
    </xf>
    <xf numFmtId="9" fontId="18" fillId="0" borderId="0" xfId="0" applyNumberFormat="1" applyFont="1"/>
    <xf numFmtId="0" fontId="18" fillId="5" borderId="12" xfId="0" applyFont="1" applyFill="1" applyBorder="1" applyAlignment="1">
      <alignment horizontal="left" vertical="center" wrapText="1"/>
    </xf>
    <xf numFmtId="0" fontId="18" fillId="5" borderId="12" xfId="0" applyFont="1" applyFill="1" applyBorder="1" applyAlignment="1">
      <alignment horizontal="center" vertical="center" wrapText="1"/>
    </xf>
    <xf numFmtId="9" fontId="18" fillId="5" borderId="12" xfId="0" applyNumberFormat="1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wrapText="1"/>
    </xf>
    <xf numFmtId="0" fontId="18" fillId="0" borderId="12" xfId="0" applyFont="1" applyBorder="1" applyAlignment="1">
      <alignment vertical="center"/>
    </xf>
    <xf numFmtId="0" fontId="19" fillId="6" borderId="12" xfId="0" applyFont="1" applyFill="1" applyBorder="1" applyAlignment="1">
      <alignment horizontal="right" vertical="center" wrapText="1"/>
    </xf>
    <xf numFmtId="9" fontId="18" fillId="6" borderId="12" xfId="0" applyNumberFormat="1" applyFont="1" applyFill="1" applyBorder="1" applyAlignment="1">
      <alignment horizontal="center" vertical="center" wrapText="1"/>
    </xf>
    <xf numFmtId="0" fontId="18" fillId="23" borderId="12" xfId="0" applyFont="1" applyFill="1" applyBorder="1"/>
    <xf numFmtId="1" fontId="21" fillId="7" borderId="12" xfId="0" applyNumberFormat="1" applyFont="1" applyFill="1" applyBorder="1" applyAlignment="1">
      <alignment vertical="center"/>
    </xf>
    <xf numFmtId="0" fontId="18" fillId="24" borderId="12" xfId="0" applyFont="1" applyFill="1" applyBorder="1"/>
    <xf numFmtId="0" fontId="34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22" fillId="0" borderId="0" xfId="0" applyFont="1" applyAlignment="1">
      <alignment horizontal="left" vertical="center" indent="5"/>
    </xf>
    <xf numFmtId="0" fontId="19" fillId="0" borderId="8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wrapText="1"/>
    </xf>
    <xf numFmtId="0" fontId="18" fillId="6" borderId="12" xfId="0" applyFont="1" applyFill="1" applyBorder="1" applyAlignment="1">
      <alignment horizontal="right" wrapText="1"/>
    </xf>
    <xf numFmtId="0" fontId="18" fillId="6" borderId="12" xfId="0" applyFont="1" applyFill="1" applyBorder="1" applyAlignment="1">
      <alignment wrapText="1"/>
    </xf>
    <xf numFmtId="0" fontId="18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7" borderId="12" xfId="0" applyFont="1" applyFill="1" applyBorder="1" applyAlignment="1">
      <alignment horizontal="right"/>
    </xf>
    <xf numFmtId="0" fontId="22" fillId="0" borderId="0" xfId="0" applyFont="1" applyAlignment="1">
      <alignment vertical="top"/>
    </xf>
    <xf numFmtId="0" fontId="20" fillId="7" borderId="12" xfId="0" applyFont="1" applyFill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indent="5"/>
    </xf>
    <xf numFmtId="0" fontId="36" fillId="0" borderId="0" xfId="0" applyFont="1" applyAlignment="1">
      <alignment vertical="center"/>
    </xf>
    <xf numFmtId="0" fontId="28" fillId="4" borderId="12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right" vertical="center" wrapText="1"/>
    </xf>
    <xf numFmtId="0" fontId="18" fillId="13" borderId="12" xfId="0" applyFont="1" applyFill="1" applyBorder="1" applyAlignment="1">
      <alignment horizontal="right"/>
    </xf>
    <xf numFmtId="0" fontId="18" fillId="25" borderId="12" xfId="0" applyFont="1" applyFill="1" applyBorder="1"/>
    <xf numFmtId="0" fontId="18" fillId="13" borderId="12" xfId="0" applyFont="1" applyFill="1" applyBorder="1" applyAlignment="1">
      <alignment horizontal="right" vertical="center" wrapText="1"/>
    </xf>
    <xf numFmtId="0" fontId="18" fillId="26" borderId="12" xfId="0" applyFont="1" applyFill="1" applyBorder="1" applyAlignment="1">
      <alignment horizontal="right"/>
    </xf>
    <xf numFmtId="0" fontId="34" fillId="0" borderId="13" xfId="0" applyFont="1" applyBorder="1" applyAlignment="1">
      <alignment vertical="center"/>
    </xf>
    <xf numFmtId="0" fontId="28" fillId="22" borderId="23" xfId="0" applyFont="1" applyFill="1" applyBorder="1" applyAlignment="1">
      <alignment horizontal="center" vertical="center" wrapText="1"/>
    </xf>
    <xf numFmtId="0" fontId="28" fillId="22" borderId="10" xfId="0" applyFont="1" applyFill="1" applyBorder="1" applyAlignment="1">
      <alignment horizontal="center" vertical="center" wrapText="1"/>
    </xf>
    <xf numFmtId="0" fontId="28" fillId="22" borderId="25" xfId="0" applyFont="1" applyFill="1" applyBorder="1" applyAlignment="1">
      <alignment horizontal="center" vertical="center" wrapText="1"/>
    </xf>
    <xf numFmtId="0" fontId="28" fillId="22" borderId="24" xfId="0" applyFont="1" applyFill="1" applyBorder="1" applyAlignment="1">
      <alignment horizontal="center" vertical="center" wrapText="1"/>
    </xf>
    <xf numFmtId="0" fontId="28" fillId="22" borderId="12" xfId="0" applyFont="1" applyFill="1" applyBorder="1" applyAlignment="1">
      <alignment horizontal="center" vertical="center" wrapText="1"/>
    </xf>
    <xf numFmtId="0" fontId="37" fillId="25" borderId="12" xfId="0" applyFont="1" applyFill="1" applyBorder="1"/>
    <xf numFmtId="0" fontId="20" fillId="7" borderId="10" xfId="0" applyFont="1" applyFill="1" applyBorder="1" applyAlignment="1">
      <alignment horizontal="right"/>
    </xf>
    <xf numFmtId="0" fontId="37" fillId="17" borderId="12" xfId="0" applyFont="1" applyFill="1" applyBorder="1"/>
    <xf numFmtId="0" fontId="18" fillId="22" borderId="12" xfId="0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right" vertical="center"/>
    </xf>
    <xf numFmtId="0" fontId="18" fillId="13" borderId="12" xfId="0" applyFont="1" applyFill="1" applyBorder="1" applyAlignment="1">
      <alignment vertical="center"/>
    </xf>
    <xf numFmtId="0" fontId="20" fillId="7" borderId="12" xfId="0" applyFont="1" applyFill="1" applyBorder="1" applyAlignment="1">
      <alignment horizontal="right" vertical="center"/>
    </xf>
    <xf numFmtId="0" fontId="21" fillId="7" borderId="12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22" borderId="12" xfId="0" applyFont="1" applyFill="1" applyBorder="1" applyAlignment="1">
      <alignment horizontal="center"/>
    </xf>
    <xf numFmtId="0" fontId="19" fillId="0" borderId="0" xfId="0" applyFont="1"/>
    <xf numFmtId="0" fontId="32" fillId="0" borderId="0" xfId="0" applyFont="1" applyAlignment="1">
      <alignment wrapText="1"/>
    </xf>
    <xf numFmtId="0" fontId="38" fillId="27" borderId="12" xfId="0" applyFont="1" applyFill="1" applyBorder="1"/>
    <xf numFmtId="0" fontId="39" fillId="0" borderId="0" xfId="0" applyFont="1"/>
    <xf numFmtId="0" fontId="18" fillId="0" borderId="0" xfId="0" applyFont="1" applyAlignment="1">
      <alignment horizontal="left" vertical="top" wrapText="1"/>
    </xf>
    <xf numFmtId="0" fontId="20" fillId="7" borderId="12" xfId="0" applyFont="1" applyFill="1" applyBorder="1" applyAlignment="1">
      <alignment horizontal="left" wrapText="1"/>
    </xf>
    <xf numFmtId="0" fontId="21" fillId="17" borderId="12" xfId="0" applyFont="1" applyFill="1" applyBorder="1"/>
    <xf numFmtId="0" fontId="40" fillId="0" borderId="0" xfId="0" applyFont="1"/>
    <xf numFmtId="0" fontId="41" fillId="7" borderId="12" xfId="0" applyFont="1" applyFill="1" applyBorder="1"/>
    <xf numFmtId="0" fontId="32" fillId="0" borderId="0" xfId="0" applyFont="1" applyAlignment="1">
      <alignment horizontal="left" indent="2"/>
    </xf>
    <xf numFmtId="0" fontId="18" fillId="17" borderId="13" xfId="0" applyFont="1" applyFill="1" applyBorder="1"/>
    <xf numFmtId="0" fontId="21" fillId="0" borderId="0" xfId="0" applyFont="1"/>
    <xf numFmtId="0" fontId="20" fillId="5" borderId="14" xfId="0" applyFont="1" applyFill="1" applyBorder="1" applyAlignment="1">
      <alignment wrapText="1"/>
    </xf>
    <xf numFmtId="0" fontId="21" fillId="5" borderId="0" xfId="0" applyFont="1" applyFill="1"/>
    <xf numFmtId="0" fontId="33" fillId="0" borderId="36" xfId="0" applyFont="1" applyBorder="1"/>
    <xf numFmtId="0" fontId="20" fillId="7" borderId="12" xfId="0" applyFont="1" applyFill="1" applyBorder="1"/>
    <xf numFmtId="0" fontId="42" fillId="7" borderId="12" xfId="0" applyFont="1" applyFill="1" applyBorder="1"/>
    <xf numFmtId="0" fontId="19" fillId="13" borderId="12" xfId="0" applyFont="1" applyFill="1" applyBorder="1" applyAlignment="1">
      <alignment horizontal="right" wrapText="1"/>
    </xf>
    <xf numFmtId="0" fontId="20" fillId="5" borderId="0" xfId="0" applyFont="1" applyFill="1"/>
    <xf numFmtId="0" fontId="18" fillId="5" borderId="0" xfId="0" applyFont="1" applyFill="1"/>
    <xf numFmtId="0" fontId="34" fillId="0" borderId="0" xfId="0" applyFont="1" applyAlignment="1">
      <alignment wrapText="1"/>
    </xf>
    <xf numFmtId="0" fontId="28" fillId="28" borderId="23" xfId="0" applyFont="1" applyFill="1" applyBorder="1" applyAlignment="1">
      <alignment horizontal="center" vertical="center" wrapText="1"/>
    </xf>
    <xf numFmtId="0" fontId="28" fillId="28" borderId="12" xfId="0" applyFont="1" applyFill="1" applyBorder="1" applyAlignment="1">
      <alignment horizontal="center" vertical="center" wrapText="1"/>
    </xf>
    <xf numFmtId="0" fontId="28" fillId="28" borderId="24" xfId="0" applyFont="1" applyFill="1" applyBorder="1" applyAlignment="1">
      <alignment horizontal="center" vertical="center" wrapText="1"/>
    </xf>
    <xf numFmtId="0" fontId="28" fillId="28" borderId="12" xfId="0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vertical="center"/>
    </xf>
    <xf numFmtId="0" fontId="20" fillId="5" borderId="0" xfId="0" applyFont="1" applyFill="1" applyAlignment="1">
      <alignment horizontal="right" vertical="center"/>
    </xf>
    <xf numFmtId="0" fontId="18" fillId="5" borderId="0" xfId="0" applyFont="1" applyFill="1" applyAlignment="1">
      <alignment horizontal="right"/>
    </xf>
    <xf numFmtId="0" fontId="39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 indent="5"/>
    </xf>
    <xf numFmtId="0" fontId="20" fillId="7" borderId="12" xfId="0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2" fillId="0" borderId="0" xfId="0" applyFont="1" applyAlignment="1">
      <alignment vertical="center" wrapText="1"/>
    </xf>
    <xf numFmtId="0" fontId="44" fillId="0" borderId="0" xfId="0" applyFont="1" applyAlignment="1">
      <alignment horizontal="right"/>
    </xf>
    <xf numFmtId="0" fontId="28" fillId="28" borderId="37" xfId="0" applyFont="1" applyFill="1" applyBorder="1" applyAlignment="1">
      <alignment horizontal="center" vertical="center" wrapText="1"/>
    </xf>
    <xf numFmtId="0" fontId="28" fillId="28" borderId="37" xfId="0" applyFont="1" applyFill="1" applyBorder="1" applyAlignment="1">
      <alignment horizontal="center" vertical="center"/>
    </xf>
    <xf numFmtId="0" fontId="28" fillId="28" borderId="38" xfId="0" applyFont="1" applyFill="1" applyBorder="1" applyAlignment="1">
      <alignment horizontal="center" vertical="center"/>
    </xf>
    <xf numFmtId="0" fontId="28" fillId="28" borderId="39" xfId="0" applyFont="1" applyFill="1" applyBorder="1" applyAlignment="1">
      <alignment horizontal="center" vertical="center"/>
    </xf>
    <xf numFmtId="0" fontId="28" fillId="28" borderId="28" xfId="0" applyFont="1" applyFill="1" applyBorder="1" applyAlignment="1">
      <alignment horizontal="center" vertical="center" wrapText="1"/>
    </xf>
    <xf numFmtId="0" fontId="28" fillId="28" borderId="28" xfId="0" applyFont="1" applyFill="1" applyBorder="1" applyAlignment="1">
      <alignment horizontal="center" vertical="center"/>
    </xf>
    <xf numFmtId="0" fontId="28" fillId="28" borderId="22" xfId="0" applyFont="1" applyFill="1" applyBorder="1" applyAlignment="1">
      <alignment horizontal="center" vertical="center"/>
    </xf>
    <xf numFmtId="0" fontId="29" fillId="0" borderId="28" xfId="0" applyFont="1" applyBorder="1" applyAlignment="1">
      <alignment vertical="center" wrapText="1"/>
    </xf>
    <xf numFmtId="0" fontId="29" fillId="0" borderId="22" xfId="0" applyFont="1" applyBorder="1" applyAlignment="1">
      <alignment vertical="center"/>
    </xf>
    <xf numFmtId="0" fontId="45" fillId="7" borderId="28" xfId="0" applyFont="1" applyFill="1" applyBorder="1" applyAlignment="1">
      <alignment horizontal="right" vertical="center"/>
    </xf>
    <xf numFmtId="0" fontId="21" fillId="7" borderId="22" xfId="0" applyFont="1" applyFill="1" applyBorder="1" applyAlignment="1">
      <alignment vertical="center"/>
    </xf>
    <xf numFmtId="0" fontId="46" fillId="0" borderId="0" xfId="0" applyFont="1" applyAlignment="1">
      <alignment horizontal="center" vertical="center" wrapText="1"/>
    </xf>
    <xf numFmtId="0" fontId="29" fillId="0" borderId="12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29" fillId="5" borderId="24" xfId="0" applyFont="1" applyFill="1" applyBorder="1" applyAlignment="1">
      <alignment horizontal="left" vertical="center" wrapText="1"/>
    </xf>
    <xf numFmtId="0" fontId="28" fillId="5" borderId="12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vertical="center"/>
    </xf>
    <xf numFmtId="0" fontId="20" fillId="7" borderId="12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 indent="5"/>
    </xf>
    <xf numFmtId="0" fontId="19" fillId="0" borderId="0" xfId="0" applyFont="1" applyAlignment="1">
      <alignment horizontal="center"/>
    </xf>
    <xf numFmtId="0" fontId="28" fillId="28" borderId="23" xfId="0" applyFont="1" applyFill="1" applyBorder="1" applyAlignment="1">
      <alignment horizontal="right" vertical="center" wrapText="1"/>
    </xf>
    <xf numFmtId="0" fontId="28" fillId="28" borderId="13" xfId="0" applyFont="1" applyFill="1" applyBorder="1" applyAlignment="1">
      <alignment horizontal="center" vertical="center"/>
    </xf>
    <xf numFmtId="0" fontId="28" fillId="28" borderId="14" xfId="0" applyFont="1" applyFill="1" applyBorder="1" applyAlignment="1">
      <alignment horizontal="center" vertical="center"/>
    </xf>
    <xf numFmtId="0" fontId="28" fillId="28" borderId="40" xfId="0" applyFont="1" applyFill="1" applyBorder="1" applyAlignment="1">
      <alignment horizontal="center" vertical="center"/>
    </xf>
    <xf numFmtId="0" fontId="28" fillId="28" borderId="25" xfId="0" applyFont="1" applyFill="1" applyBorder="1" applyAlignment="1">
      <alignment horizontal="center" vertical="center"/>
    </xf>
    <xf numFmtId="0" fontId="28" fillId="28" borderId="26" xfId="0" applyFont="1" applyFill="1" applyBorder="1" applyAlignment="1">
      <alignment horizontal="right" vertical="center" wrapText="1"/>
    </xf>
    <xf numFmtId="0" fontId="28" fillId="28" borderId="16" xfId="0" applyFont="1" applyFill="1" applyBorder="1" applyAlignment="1">
      <alignment horizontal="center" vertical="center"/>
    </xf>
    <xf numFmtId="0" fontId="28" fillId="28" borderId="8" xfId="0" applyFont="1" applyFill="1" applyBorder="1" applyAlignment="1">
      <alignment horizontal="center" vertical="center"/>
    </xf>
    <xf numFmtId="0" fontId="28" fillId="28" borderId="41" xfId="0" applyFont="1" applyFill="1" applyBorder="1" applyAlignment="1">
      <alignment horizontal="center" vertical="center"/>
    </xf>
    <xf numFmtId="0" fontId="28" fillId="28" borderId="26" xfId="0" applyFont="1" applyFill="1" applyBorder="1" applyAlignment="1">
      <alignment horizontal="left" wrapText="1"/>
    </xf>
    <xf numFmtId="0" fontId="28" fillId="28" borderId="32" xfId="0" applyFont="1" applyFill="1" applyBorder="1" applyAlignment="1">
      <alignment horizontal="center" vertical="center"/>
    </xf>
    <xf numFmtId="0" fontId="28" fillId="28" borderId="24" xfId="0" applyFont="1" applyFill="1" applyBorder="1" applyAlignment="1">
      <alignment horizontal="left" wrapText="1"/>
    </xf>
    <xf numFmtId="0" fontId="28" fillId="13" borderId="12" xfId="0" applyFont="1" applyFill="1" applyBorder="1" applyAlignment="1">
      <alignment horizontal="center" vertical="center"/>
    </xf>
    <xf numFmtId="0" fontId="29" fillId="0" borderId="32" xfId="0" applyFont="1" applyBorder="1" applyAlignment="1">
      <alignment vertical="center"/>
    </xf>
    <xf numFmtId="0" fontId="29" fillId="0" borderId="25" xfId="0" applyFont="1" applyBorder="1" applyAlignment="1">
      <alignment vertical="center"/>
    </xf>
    <xf numFmtId="0" fontId="28" fillId="29" borderId="12" xfId="0" applyFont="1" applyFill="1" applyBorder="1" applyAlignment="1">
      <alignment horizontal="right" vertical="center"/>
    </xf>
    <xf numFmtId="0" fontId="29" fillId="29" borderId="12" xfId="0" applyFont="1" applyFill="1" applyBorder="1" applyAlignment="1">
      <alignment vertical="center"/>
    </xf>
    <xf numFmtId="0" fontId="29" fillId="29" borderId="32" xfId="0" applyFont="1" applyFill="1" applyBorder="1" applyAlignment="1">
      <alignment vertical="center"/>
    </xf>
    <xf numFmtId="0" fontId="29" fillId="29" borderId="25" xfId="0" applyFont="1" applyFill="1" applyBorder="1" applyAlignment="1">
      <alignment vertical="center"/>
    </xf>
    <xf numFmtId="0" fontId="29" fillId="13" borderId="13" xfId="0" applyFont="1" applyFill="1" applyBorder="1" applyAlignment="1">
      <alignment horizontal="center"/>
    </xf>
    <xf numFmtId="0" fontId="29" fillId="13" borderId="14" xfId="0" applyFont="1" applyFill="1" applyBorder="1" applyAlignment="1">
      <alignment horizontal="center"/>
    </xf>
    <xf numFmtId="0" fontId="29" fillId="13" borderId="35" xfId="0" applyFont="1" applyFill="1" applyBorder="1" applyAlignment="1">
      <alignment horizontal="center"/>
    </xf>
    <xf numFmtId="0" fontId="28" fillId="0" borderId="0" xfId="0" applyFont="1" applyAlignment="1">
      <alignment vertical="center"/>
    </xf>
    <xf numFmtId="0" fontId="29" fillId="13" borderId="16" xfId="0" applyFont="1" applyFill="1" applyBorder="1" applyAlignment="1">
      <alignment horizontal="center"/>
    </xf>
    <xf numFmtId="0" fontId="29" fillId="13" borderId="8" xfId="0" applyFont="1" applyFill="1" applyBorder="1" applyAlignment="1">
      <alignment horizontal="center"/>
    </xf>
    <xf numFmtId="0" fontId="29" fillId="13" borderId="19" xfId="0" applyFont="1" applyFill="1" applyBorder="1" applyAlignment="1">
      <alignment horizontal="center"/>
    </xf>
    <xf numFmtId="0" fontId="29" fillId="0" borderId="3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8" fillId="30" borderId="12" xfId="0" applyFont="1" applyFill="1" applyBorder="1" applyAlignment="1">
      <alignment horizontal="right" vertical="center"/>
    </xf>
    <xf numFmtId="0" fontId="29" fillId="30" borderId="12" xfId="0" applyFont="1" applyFill="1" applyBorder="1" applyAlignment="1">
      <alignment vertical="center"/>
    </xf>
    <xf numFmtId="0" fontId="29" fillId="30" borderId="31" xfId="0" applyFont="1" applyFill="1" applyBorder="1" applyAlignment="1">
      <alignment horizontal="center" vertical="center"/>
    </xf>
    <xf numFmtId="0" fontId="29" fillId="30" borderId="12" xfId="0" applyFont="1" applyFill="1" applyBorder="1" applyAlignment="1">
      <alignment horizontal="center" vertical="center"/>
    </xf>
    <xf numFmtId="0" fontId="29" fillId="0" borderId="10" xfId="0" applyFont="1" applyBorder="1" applyAlignment="1">
      <alignment vertical="center"/>
    </xf>
    <xf numFmtId="0" fontId="29" fillId="31" borderId="31" xfId="0" applyFont="1" applyFill="1" applyBorder="1" applyAlignment="1">
      <alignment horizontal="center" vertical="center"/>
    </xf>
    <xf numFmtId="0" fontId="29" fillId="31" borderId="12" xfId="0" applyFont="1" applyFill="1" applyBorder="1" applyAlignment="1">
      <alignment horizontal="center" vertical="center"/>
    </xf>
    <xf numFmtId="0" fontId="29" fillId="31" borderId="12" xfId="0" applyFont="1" applyFill="1" applyBorder="1" applyAlignment="1">
      <alignment vertical="center"/>
    </xf>
    <xf numFmtId="0" fontId="19" fillId="19" borderId="12" xfId="0" applyFont="1" applyFill="1" applyBorder="1" applyAlignment="1">
      <alignment horizontal="center" vertical="center"/>
    </xf>
    <xf numFmtId="0" fontId="19" fillId="19" borderId="12" xfId="0" applyFont="1" applyFill="1" applyBorder="1" applyAlignment="1">
      <alignment horizontal="right"/>
    </xf>
    <xf numFmtId="0" fontId="18" fillId="19" borderId="12" xfId="0" applyFont="1" applyFill="1" applyBorder="1"/>
    <xf numFmtId="0" fontId="18" fillId="31" borderId="33" xfId="0" applyFont="1" applyFill="1" applyBorder="1"/>
    <xf numFmtId="0" fontId="18" fillId="31" borderId="11" xfId="0" applyFont="1" applyFill="1" applyBorder="1"/>
    <xf numFmtId="0" fontId="18" fillId="31" borderId="25" xfId="0" applyFont="1" applyFill="1" applyBorder="1"/>
    <xf numFmtId="0" fontId="18" fillId="31" borderId="12" xfId="0" applyFont="1" applyFill="1" applyBorder="1"/>
    <xf numFmtId="0" fontId="32" fillId="0" borderId="0" xfId="0" applyFont="1" applyAlignment="1">
      <alignment horizontal="left" vertical="center"/>
    </xf>
    <xf numFmtId="0" fontId="28" fillId="28" borderId="12" xfId="0" applyFont="1" applyFill="1" applyBorder="1" applyAlignment="1">
      <alignment horizontal="right" vertical="top" wrapText="1"/>
    </xf>
    <xf numFmtId="0" fontId="28" fillId="28" borderId="31" xfId="0" applyFont="1" applyFill="1" applyBorder="1" applyAlignment="1">
      <alignment horizontal="center" vertical="center"/>
    </xf>
    <xf numFmtId="0" fontId="28" fillId="28" borderId="23" xfId="0" applyFont="1" applyFill="1" applyBorder="1" applyAlignment="1">
      <alignment horizontal="right" vertical="top" wrapText="1"/>
    </xf>
    <xf numFmtId="0" fontId="28" fillId="28" borderId="32" xfId="0" applyFont="1" applyFill="1" applyBorder="1" applyAlignment="1">
      <alignment horizontal="center" vertical="center" wrapText="1"/>
    </xf>
    <xf numFmtId="0" fontId="28" fillId="28" borderId="25" xfId="0" applyFont="1" applyFill="1" applyBorder="1" applyAlignment="1">
      <alignment horizontal="center" vertical="center" wrapText="1"/>
    </xf>
    <xf numFmtId="0" fontId="29" fillId="13" borderId="12" xfId="0" applyFont="1" applyFill="1" applyBorder="1" applyAlignment="1">
      <alignment vertical="center"/>
    </xf>
    <xf numFmtId="0" fontId="29" fillId="0" borderId="12" xfId="0" applyFont="1" applyBorder="1" applyAlignment="1">
      <alignment vertical="top" wrapText="1"/>
    </xf>
    <xf numFmtId="0" fontId="28" fillId="13" borderId="12" xfId="0" applyFont="1" applyFill="1" applyBorder="1" applyAlignment="1">
      <alignment horizontal="right" vertical="center" wrapText="1"/>
    </xf>
    <xf numFmtId="0" fontId="29" fillId="13" borderId="32" xfId="0" applyFont="1" applyFill="1" applyBorder="1" applyAlignment="1">
      <alignment vertical="center"/>
    </xf>
    <xf numFmtId="0" fontId="29" fillId="13" borderId="25" xfId="0" applyFont="1" applyFill="1" applyBorder="1" applyAlignment="1">
      <alignment vertical="center"/>
    </xf>
    <xf numFmtId="0" fontId="28" fillId="13" borderId="12" xfId="0" applyFont="1" applyFill="1" applyBorder="1" applyAlignment="1">
      <alignment vertical="center" wrapText="1"/>
    </xf>
    <xf numFmtId="0" fontId="21" fillId="7" borderId="32" xfId="0" applyFont="1" applyFill="1" applyBorder="1"/>
    <xf numFmtId="0" fontId="21" fillId="7" borderId="25" xfId="0" applyFont="1" applyFill="1" applyBorder="1"/>
    <xf numFmtId="0" fontId="29" fillId="5" borderId="12" xfId="0" applyFont="1" applyFill="1" applyBorder="1" applyAlignment="1">
      <alignment horizontal="left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13" borderId="1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0" fontId="18" fillId="22" borderId="23" xfId="0" applyFont="1" applyFill="1" applyBorder="1" applyAlignment="1">
      <alignment horizontal="center" vertical="center"/>
    </xf>
    <xf numFmtId="0" fontId="18" fillId="22" borderId="23" xfId="0" applyFont="1" applyFill="1" applyBorder="1" applyAlignment="1">
      <alignment horizontal="center" wrapText="1"/>
    </xf>
    <xf numFmtId="0" fontId="18" fillId="22" borderId="12" xfId="0" applyFont="1" applyFill="1" applyBorder="1" applyAlignment="1">
      <alignment horizontal="center" wrapText="1"/>
    </xf>
    <xf numFmtId="0" fontId="18" fillId="22" borderId="24" xfId="0" applyFont="1" applyFill="1" applyBorder="1" applyAlignment="1">
      <alignment horizontal="center" vertical="center"/>
    </xf>
    <xf numFmtId="0" fontId="18" fillId="22" borderId="24" xfId="0" applyFont="1" applyFill="1" applyBorder="1" applyAlignment="1">
      <alignment horizontal="center" wrapText="1"/>
    </xf>
    <xf numFmtId="0" fontId="18" fillId="0" borderId="12" xfId="0" applyFont="1" applyBorder="1" applyAlignment="1">
      <alignment horizontal="left"/>
    </xf>
    <xf numFmtId="0" fontId="18" fillId="0" borderId="14" xfId="0" applyFont="1" applyBorder="1"/>
    <xf numFmtId="0" fontId="18" fillId="22" borderId="12" xfId="0" applyFont="1" applyFill="1" applyBorder="1" applyAlignment="1">
      <alignment horizontal="center" vertical="center" wrapText="1"/>
    </xf>
    <xf numFmtId="0" fontId="18" fillId="19" borderId="10" xfId="0" applyFont="1" applyFill="1" applyBorder="1" applyAlignment="1">
      <alignment horizontal="center"/>
    </xf>
    <xf numFmtId="0" fontId="18" fillId="19" borderId="11" xfId="0" applyFont="1" applyFill="1" applyBorder="1" applyAlignment="1">
      <alignment horizontal="center"/>
    </xf>
    <xf numFmtId="0" fontId="18" fillId="19" borderId="25" xfId="0" applyFont="1" applyFill="1" applyBorder="1" applyAlignment="1">
      <alignment horizontal="center"/>
    </xf>
    <xf numFmtId="0" fontId="19" fillId="6" borderId="12" xfId="0" applyFont="1" applyFill="1" applyBorder="1"/>
    <xf numFmtId="0" fontId="19" fillId="19" borderId="10" xfId="0" applyFont="1" applyFill="1" applyBorder="1" applyAlignment="1">
      <alignment horizontal="center"/>
    </xf>
    <xf numFmtId="0" fontId="19" fillId="19" borderId="11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47" fillId="13" borderId="12" xfId="0" applyFont="1" applyFill="1" applyBorder="1"/>
    <xf numFmtId="0" fontId="19" fillId="19" borderId="12" xfId="0" applyFont="1" applyFill="1" applyBorder="1"/>
    <xf numFmtId="0" fontId="19" fillId="13" borderId="12" xfId="0" applyFont="1" applyFill="1" applyBorder="1" applyAlignment="1">
      <alignment horizontal="center"/>
    </xf>
    <xf numFmtId="0" fontId="19" fillId="0" borderId="26" xfId="0" applyFont="1" applyBorder="1"/>
    <xf numFmtId="0" fontId="19" fillId="0" borderId="26" xfId="0" applyFont="1" applyBorder="1" applyAlignment="1">
      <alignment wrapText="1"/>
    </xf>
    <xf numFmtId="16" fontId="18" fillId="22" borderId="12" xfId="0" applyNumberFormat="1" applyFont="1" applyFill="1" applyBorder="1" applyAlignment="1">
      <alignment horizontal="center" vertical="center"/>
    </xf>
    <xf numFmtId="0" fontId="18" fillId="3" borderId="12" xfId="0" applyFont="1" applyFill="1" applyBorder="1"/>
    <xf numFmtId="0" fontId="48" fillId="0" borderId="0" xfId="0" applyFont="1" applyAlignment="1">
      <alignment horizontal="center" vertical="center"/>
    </xf>
    <xf numFmtId="0" fontId="48" fillId="0" borderId="0" xfId="0" applyFont="1"/>
    <xf numFmtId="0" fontId="48" fillId="0" borderId="0" xfId="0" applyFont="1" applyAlignment="1">
      <alignment horizontal="left" vertical="center"/>
    </xf>
    <xf numFmtId="0" fontId="49" fillId="0" borderId="0" xfId="0" applyFont="1"/>
    <xf numFmtId="0" fontId="50" fillId="4" borderId="23" xfId="0" applyFont="1" applyFill="1" applyBorder="1" applyAlignment="1">
      <alignment horizontal="center" vertical="center"/>
    </xf>
    <xf numFmtId="0" fontId="50" fillId="4" borderId="10" xfId="0" applyFont="1" applyFill="1" applyBorder="1" applyAlignment="1">
      <alignment horizontal="center" vertical="center"/>
    </xf>
    <xf numFmtId="0" fontId="50" fillId="4" borderId="25" xfId="0" applyFont="1" applyFill="1" applyBorder="1" applyAlignment="1">
      <alignment horizontal="center" vertical="center"/>
    </xf>
    <xf numFmtId="0" fontId="50" fillId="4" borderId="23" xfId="0" applyFont="1" applyFill="1" applyBorder="1" applyAlignment="1">
      <alignment horizontal="center" vertical="center" wrapText="1"/>
    </xf>
    <xf numFmtId="0" fontId="50" fillId="4" borderId="24" xfId="0" applyFont="1" applyFill="1" applyBorder="1" applyAlignment="1">
      <alignment horizontal="center" vertical="center"/>
    </xf>
    <xf numFmtId="0" fontId="48" fillId="4" borderId="12" xfId="0" applyFont="1" applyFill="1" applyBorder="1" applyAlignment="1">
      <alignment horizontal="center" vertical="center"/>
    </xf>
    <xf numFmtId="0" fontId="50" fillId="4" borderId="24" xfId="0" applyFont="1" applyFill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/>
    </xf>
    <xf numFmtId="0" fontId="50" fillId="6" borderId="12" xfId="0" applyFont="1" applyFill="1" applyBorder="1" applyAlignment="1">
      <alignment wrapText="1"/>
    </xf>
    <xf numFmtId="0" fontId="48" fillId="6" borderId="12" xfId="0" applyFont="1" applyFill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/>
    </xf>
    <xf numFmtId="0" fontId="48" fillId="0" borderId="12" xfId="0" applyFont="1" applyBorder="1" applyAlignment="1">
      <alignment horizontal="left" vertical="center"/>
    </xf>
    <xf numFmtId="0" fontId="48" fillId="0" borderId="12" xfId="0" applyFont="1" applyBorder="1"/>
    <xf numFmtId="0" fontId="50" fillId="6" borderId="12" xfId="0" applyFont="1" applyFill="1" applyBorder="1"/>
    <xf numFmtId="0" fontId="48" fillId="6" borderId="12" xfId="0" applyFont="1" applyFill="1" applyBorder="1" applyAlignment="1">
      <alignment horizontal="center" vertical="center"/>
    </xf>
    <xf numFmtId="0" fontId="48" fillId="0" borderId="12" xfId="0" applyFont="1" applyBorder="1" applyAlignment="1">
      <alignment horizontal="center" vertical="center" wrapText="1"/>
    </xf>
    <xf numFmtId="0" fontId="48" fillId="0" borderId="12" xfId="0" applyFont="1" applyBorder="1" applyAlignment="1">
      <alignment wrapText="1"/>
    </xf>
    <xf numFmtId="0" fontId="48" fillId="0" borderId="12" xfId="0" applyFont="1" applyBorder="1" applyAlignment="1">
      <alignment vertical="center"/>
    </xf>
    <xf numFmtId="0" fontId="50" fillId="6" borderId="12" xfId="0" applyFont="1" applyFill="1" applyBorder="1" applyAlignment="1">
      <alignment horizontal="left" vertical="center"/>
    </xf>
    <xf numFmtId="0" fontId="50" fillId="0" borderId="12" xfId="0" applyFont="1" applyBorder="1" applyAlignment="1">
      <alignment horizontal="left" vertical="center"/>
    </xf>
    <xf numFmtId="0" fontId="51" fillId="7" borderId="12" xfId="0" applyFont="1" applyFill="1" applyBorder="1"/>
    <xf numFmtId="0" fontId="48" fillId="7" borderId="12" xfId="0" applyFont="1" applyFill="1" applyBorder="1" applyAlignment="1">
      <alignment horizontal="center" vertical="center"/>
    </xf>
    <xf numFmtId="0" fontId="51" fillId="7" borderId="12" xfId="0" applyFont="1" applyFill="1" applyBorder="1" applyAlignment="1">
      <alignment horizontal="left" vertical="center"/>
    </xf>
    <xf numFmtId="0" fontId="51" fillId="12" borderId="12" xfId="0" applyFont="1" applyFill="1" applyBorder="1"/>
    <xf numFmtId="0" fontId="48" fillId="12" borderId="12" xfId="0" applyFont="1" applyFill="1" applyBorder="1" applyAlignment="1">
      <alignment horizontal="center" vertical="center"/>
    </xf>
    <xf numFmtId="0" fontId="51" fillId="12" borderId="12" xfId="0" applyFont="1" applyFill="1" applyBorder="1" applyAlignment="1">
      <alignment horizontal="left" vertic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/>
    </xf>
    <xf numFmtId="0" fontId="18" fillId="7" borderId="12" xfId="0" applyFont="1" applyFill="1" applyBorder="1" applyAlignment="1">
      <alignment horizontal="left" vertical="center"/>
    </xf>
    <xf numFmtId="0" fontId="20" fillId="12" borderId="12" xfId="0" applyFont="1" applyFill="1" applyBorder="1" applyAlignment="1">
      <alignment horizontal="left" vertical="center" wrapText="1"/>
    </xf>
    <xf numFmtId="0" fontId="18" fillId="12" borderId="12" xfId="0" applyFont="1" applyFill="1" applyBorder="1"/>
    <xf numFmtId="0" fontId="18" fillId="12" borderId="1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96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94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vmlDrawing" Target="../drawings/vmlDrawing4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L37"/>
  <sheetViews>
    <sheetView workbookViewId="0" zoomScale="100" zoomScaleNormal="100">
      <selection activeCell="L13" sqref="L13"/>
    </sheetView>
  </sheetViews>
  <sheetFormatPr defaultRowHeight="12" outlineLevelRow="0" outlineLevelCol="0" x14ac:dyDescent="0.25" defaultColWidth="11.44140625" customHeight="1"/>
  <cols>
    <col min="1" max="1" width="4.77734375" style="97" customWidth="1"/>
    <col min="2" max="2" width="32.77734375" style="98" customWidth="1"/>
    <col min="3" max="3" width="5.77734375" style="97" customWidth="1"/>
    <col min="4" max="7" width="10.77734375" style="97" customWidth="1"/>
    <col min="8" max="8" width="5" style="97" customWidth="1"/>
    <col min="9" max="9" width="52.77734375" style="97" customWidth="1"/>
    <col min="10" max="10" width="6.88671875" style="97" customWidth="1"/>
    <col min="11" max="12" width="10.77734375" style="97" customWidth="1"/>
    <col min="13" max="16384" width="11.44140625" style="97" customWidth="1"/>
  </cols>
  <sheetData>
    <row r="2" spans="5:5" x14ac:dyDescent="0.25">
      <c r="E2" s="99"/>
    </row>
    <row r="4" ht="23.4" customHeight="1" spans="1:12" x14ac:dyDescent="0.25">
      <c r="A4" s="100" t="s">
        <v>35</v>
      </c>
      <c r="B4" s="101" t="s">
        <v>36</v>
      </c>
      <c r="C4" s="100" t="s">
        <v>37</v>
      </c>
      <c r="D4" s="100" t="s">
        <v>38</v>
      </c>
      <c r="E4" s="100"/>
      <c r="F4" s="100"/>
      <c r="G4" s="101" t="s">
        <v>39</v>
      </c>
      <c r="H4" s="100" t="s">
        <v>35</v>
      </c>
      <c r="I4" s="100" t="s">
        <v>40</v>
      </c>
      <c r="J4" s="100" t="s">
        <v>37</v>
      </c>
      <c r="K4" s="102" t="s">
        <v>38</v>
      </c>
      <c r="L4" s="101" t="s">
        <v>39</v>
      </c>
    </row>
    <row r="5" ht="22.8" customHeight="1" spans="1:12" x14ac:dyDescent="0.25">
      <c r="A5" s="100"/>
      <c r="B5" s="101"/>
      <c r="C5" s="100"/>
      <c r="D5" s="100" t="s">
        <v>41</v>
      </c>
      <c r="E5" s="101" t="s">
        <v>42</v>
      </c>
      <c r="F5" s="100" t="s">
        <v>43</v>
      </c>
      <c r="G5" s="100" t="s">
        <v>43</v>
      </c>
      <c r="H5" s="100"/>
      <c r="I5" s="100"/>
      <c r="J5" s="100"/>
      <c r="K5" s="100" t="s">
        <v>43</v>
      </c>
      <c r="L5" s="100" t="s">
        <v>43</v>
      </c>
    </row>
    <row r="6" ht="45.6" customHeight="1" spans="1:12" x14ac:dyDescent="0.25">
      <c r="A6" s="103" t="s">
        <v>44</v>
      </c>
      <c r="B6" s="104" t="s">
        <v>45</v>
      </c>
      <c r="C6" s="105">
        <v>5</v>
      </c>
      <c r="D6" s="106">
        <f>SUM(D7:D8)</f>
        <v>0</v>
      </c>
      <c r="E6" s="106">
        <f t="shared" ref="E6:G6" si="0">SUM(E7:E8)</f>
        <v>0</v>
      </c>
      <c r="F6" s="106">
        <f t="shared" si="0"/>
        <v>0</v>
      </c>
      <c r="G6" s="106">
        <f t="shared" si="0"/>
        <v>0</v>
      </c>
      <c r="H6" s="107" t="s">
        <v>46</v>
      </c>
      <c r="I6" s="108" t="s">
        <v>47</v>
      </c>
      <c r="J6" s="107">
        <v>15</v>
      </c>
      <c r="K6" s="109">
        <v>0</v>
      </c>
      <c r="L6" s="109">
        <v>0</v>
      </c>
    </row>
    <row r="7" spans="1:12" x14ac:dyDescent="0.25">
      <c r="A7" s="107" t="s">
        <v>48</v>
      </c>
      <c r="B7" s="110" t="s">
        <v>49</v>
      </c>
      <c r="C7" s="109"/>
      <c r="D7" s="109">
        <v>0</v>
      </c>
      <c r="E7" s="109">
        <v>0</v>
      </c>
      <c r="F7" s="109">
        <f>D7-E7</f>
        <v>0</v>
      </c>
      <c r="G7" s="109">
        <v>0</v>
      </c>
      <c r="H7" s="107" t="s">
        <v>50</v>
      </c>
      <c r="I7" s="109" t="s">
        <v>51</v>
      </c>
      <c r="J7" s="107">
        <v>15</v>
      </c>
      <c r="K7" s="109">
        <v>0</v>
      </c>
      <c r="L7" s="109">
        <v>0</v>
      </c>
    </row>
    <row r="8" spans="1:12" x14ac:dyDescent="0.25">
      <c r="A8" s="107" t="s">
        <v>52</v>
      </c>
      <c r="B8" s="110" t="s">
        <v>53</v>
      </c>
      <c r="C8" s="109"/>
      <c r="D8" s="109">
        <v>0</v>
      </c>
      <c r="E8" s="109">
        <v>0</v>
      </c>
      <c r="F8" s="109">
        <f>D8-E8</f>
        <v>0</v>
      </c>
      <c r="G8" s="109">
        <v>0</v>
      </c>
      <c r="H8" s="111" t="s">
        <v>54</v>
      </c>
      <c r="I8" s="109" t="s">
        <v>55</v>
      </c>
      <c r="J8" s="111">
        <v>15</v>
      </c>
      <c r="K8" s="109">
        <v>0</v>
      </c>
      <c r="L8" s="109">
        <v>0</v>
      </c>
    </row>
    <row r="9" ht="15" customHeight="1" spans="1:12" x14ac:dyDescent="0.25">
      <c r="A9" s="112" t="s">
        <v>56</v>
      </c>
      <c r="B9" s="113" t="s">
        <v>57</v>
      </c>
      <c r="C9" s="114">
        <v>5</v>
      </c>
      <c r="D9" s="115">
        <f>SUM(D10:D12)</f>
        <v>1767600</v>
      </c>
      <c r="E9" s="115">
        <f t="shared" ref="E9:G9" si="1">SUM(E10:E12)</f>
        <v>523459</v>
      </c>
      <c r="F9" s="115">
        <f t="shared" si="1"/>
        <v>1244141</v>
      </c>
      <c r="G9" s="115">
        <f t="shared" si="1"/>
        <v>1597661</v>
      </c>
      <c r="H9" s="116" t="s">
        <v>58</v>
      </c>
      <c r="I9" s="109" t="s">
        <v>59</v>
      </c>
      <c r="J9" s="111">
        <v>15</v>
      </c>
      <c r="K9" s="109">
        <v>0</v>
      </c>
      <c r="L9" s="109">
        <v>0</v>
      </c>
    </row>
    <row r="10" spans="1:12" x14ac:dyDescent="0.25">
      <c r="A10" s="107" t="s">
        <v>60</v>
      </c>
      <c r="B10" s="110" t="s">
        <v>61</v>
      </c>
      <c r="C10" s="109"/>
      <c r="D10" s="109">
        <v>1767600</v>
      </c>
      <c r="E10" s="109">
        <v>523459</v>
      </c>
      <c r="F10" s="109">
        <f>D10-E10</f>
        <v>1244141</v>
      </c>
      <c r="G10" s="109">
        <v>1597661</v>
      </c>
      <c r="H10" s="111" t="s">
        <v>62</v>
      </c>
      <c r="I10" s="109" t="s">
        <v>63</v>
      </c>
      <c r="J10" s="111" t="s">
        <v>64</v>
      </c>
      <c r="K10" s="109">
        <v>0</v>
      </c>
      <c r="L10" s="109">
        <v>0</v>
      </c>
    </row>
    <row r="11" spans="1:12" x14ac:dyDescent="0.25">
      <c r="A11" s="107" t="s">
        <v>65</v>
      </c>
      <c r="B11" s="110" t="s">
        <v>66</v>
      </c>
      <c r="C11" s="109"/>
      <c r="D11" s="109">
        <v>0</v>
      </c>
      <c r="E11" s="109">
        <v>0</v>
      </c>
      <c r="F11" s="109">
        <f t="shared" ref="F11:F12" si="2">D11-E11</f>
        <v>0</v>
      </c>
      <c r="G11" s="109">
        <v>0</v>
      </c>
      <c r="H11" s="111" t="s">
        <v>67</v>
      </c>
      <c r="I11" s="109" t="s">
        <v>68</v>
      </c>
      <c r="J11" s="111">
        <v>16</v>
      </c>
      <c r="K11" s="109">
        <v>0</v>
      </c>
      <c r="L11" s="109">
        <v>0</v>
      </c>
    </row>
    <row r="12" ht="24" customHeight="1" spans="1:12" x14ac:dyDescent="0.25">
      <c r="A12" s="107" t="s">
        <v>69</v>
      </c>
      <c r="B12" s="110" t="s">
        <v>70</v>
      </c>
      <c r="C12" s="109"/>
      <c r="D12" s="109">
        <v>0</v>
      </c>
      <c r="E12" s="109">
        <v>0</v>
      </c>
      <c r="F12" s="109">
        <f t="shared" si="2"/>
        <v>0</v>
      </c>
      <c r="G12" s="109">
        <v>0</v>
      </c>
      <c r="H12" s="107" t="s">
        <v>71</v>
      </c>
      <c r="I12" s="109" t="s">
        <v>72</v>
      </c>
      <c r="J12" s="111">
        <v>16</v>
      </c>
      <c r="K12" s="109">
        <v>87805922</v>
      </c>
      <c r="L12" s="109">
        <v>55859517</v>
      </c>
    </row>
    <row r="13" spans="1:12" x14ac:dyDescent="0.25">
      <c r="A13" s="103" t="s">
        <v>73</v>
      </c>
      <c r="B13" s="113" t="s">
        <v>74</v>
      </c>
      <c r="C13" s="114">
        <v>5</v>
      </c>
      <c r="D13" s="115">
        <f>SUM(D14:D19)</f>
        <v>685000</v>
      </c>
      <c r="E13" s="115">
        <f t="shared" ref="E13:G13" si="3">SUM(E14:E19)</f>
        <v>122362</v>
      </c>
      <c r="F13" s="115">
        <f t="shared" si="3"/>
        <v>562638</v>
      </c>
      <c r="G13" s="115">
        <f t="shared" si="3"/>
        <v>0</v>
      </c>
      <c r="H13" s="111" t="s">
        <v>75</v>
      </c>
      <c r="I13" s="109" t="s">
        <v>76</v>
      </c>
      <c r="J13" s="111"/>
      <c r="K13" s="109">
        <v>14737042</v>
      </c>
      <c r="L13" s="109">
        <v>31717405</v>
      </c>
    </row>
    <row r="14" spans="1:12" x14ac:dyDescent="0.25">
      <c r="A14" s="107" t="s">
        <v>77</v>
      </c>
      <c r="B14" s="110" t="s">
        <v>78</v>
      </c>
      <c r="C14" s="109"/>
      <c r="D14" s="109">
        <v>0</v>
      </c>
      <c r="E14" s="109">
        <v>0</v>
      </c>
      <c r="F14" s="109">
        <f>D14-E14</f>
        <v>0</v>
      </c>
      <c r="G14" s="109">
        <v>0</v>
      </c>
      <c r="H14" s="111" t="s">
        <v>79</v>
      </c>
      <c r="I14" s="109" t="s">
        <v>80</v>
      </c>
      <c r="J14" s="111" t="s">
        <v>81</v>
      </c>
      <c r="K14" s="109">
        <v>0</v>
      </c>
      <c r="L14" s="109">
        <v>0</v>
      </c>
    </row>
    <row r="15" spans="1:11" x14ac:dyDescent="0.25">
      <c r="A15" s="107" t="s">
        <v>82</v>
      </c>
      <c r="B15" s="110" t="s">
        <v>83</v>
      </c>
      <c r="C15" s="109"/>
      <c r="D15" s="109">
        <v>0</v>
      </c>
      <c r="E15" s="109">
        <v>0</v>
      </c>
      <c r="F15" s="109">
        <f t="shared" ref="F15:F19" si="4">D15-E15</f>
        <v>0</v>
      </c>
      <c r="G15" s="109">
        <v>0</v>
      </c>
      <c r="H15" s="107" t="s">
        <v>84</v>
      </c>
      <c r="I15" s="117" t="s">
        <v>85</v>
      </c>
      <c r="J15" s="111" t="s">
        <v>81</v>
      </c>
      <c r="K15" s="109">
        <v>0</v>
      </c>
    </row>
    <row r="16" spans="1:12" x14ac:dyDescent="0.25">
      <c r="A16" s="107" t="s">
        <v>86</v>
      </c>
      <c r="B16" s="118" t="s">
        <v>87</v>
      </c>
      <c r="C16" s="109"/>
      <c r="D16" s="109">
        <v>0</v>
      </c>
      <c r="E16" s="109">
        <v>0</v>
      </c>
      <c r="F16" s="109">
        <f t="shared" si="4"/>
        <v>0</v>
      </c>
      <c r="G16" s="109">
        <v>0</v>
      </c>
      <c r="H16" s="103" t="s">
        <v>88</v>
      </c>
      <c r="I16" s="119" t="s">
        <v>89</v>
      </c>
      <c r="J16" s="120"/>
      <c r="K16" s="115">
        <f>SUM(K6:K15)</f>
        <v>102542964</v>
      </c>
      <c r="L16" s="115">
        <f>SUM(L6:L15)</f>
      </c>
    </row>
    <row r="17" spans="1:12" x14ac:dyDescent="0.25">
      <c r="A17" s="107" t="s">
        <v>90</v>
      </c>
      <c r="B17" s="110" t="s">
        <v>91</v>
      </c>
      <c r="C17" s="109"/>
      <c r="D17" s="109">
        <v>685000</v>
      </c>
      <c r="E17" s="109">
        <v>122362</v>
      </c>
      <c r="F17" s="109">
        <f t="shared" si="4"/>
        <v>562638</v>
      </c>
      <c r="G17" s="109">
        <v>0</v>
      </c>
      <c r="H17" s="103" t="s">
        <v>92</v>
      </c>
      <c r="I17" s="110" t="s">
        <v>93</v>
      </c>
      <c r="J17" s="111" t="s">
        <v>94</v>
      </c>
      <c r="K17" s="109">
        <v>0</v>
      </c>
      <c r="L17" s="109">
        <v>0</v>
      </c>
    </row>
    <row r="18" spans="1:12" x14ac:dyDescent="0.25">
      <c r="A18" s="107" t="s">
        <v>95</v>
      </c>
      <c r="B18" s="110" t="s">
        <v>96</v>
      </c>
      <c r="C18" s="109"/>
      <c r="D18" s="109">
        <v>0</v>
      </c>
      <c r="E18" s="109">
        <v>0</v>
      </c>
      <c r="F18" s="109">
        <f t="shared" si="4"/>
        <v>0</v>
      </c>
      <c r="G18" s="109">
        <v>0</v>
      </c>
      <c r="H18" s="121" t="s">
        <v>97</v>
      </c>
      <c r="I18" s="109" t="s">
        <v>98</v>
      </c>
      <c r="J18" s="111" t="s">
        <v>94</v>
      </c>
      <c r="K18" s="109">
        <v>0</v>
      </c>
      <c r="L18" s="109">
        <v>0</v>
      </c>
    </row>
    <row r="19" ht="24" customHeight="1" spans="1:12" x14ac:dyDescent="0.25">
      <c r="A19" s="107" t="s">
        <v>99</v>
      </c>
      <c r="B19" s="110" t="s">
        <v>100</v>
      </c>
      <c r="C19" s="109"/>
      <c r="D19" s="109">
        <v>0</v>
      </c>
      <c r="E19" s="109">
        <v>0</v>
      </c>
      <c r="F19" s="109">
        <f t="shared" si="4"/>
        <v>0</v>
      </c>
      <c r="G19" s="109">
        <v>0</v>
      </c>
      <c r="H19" s="103" t="s">
        <v>101</v>
      </c>
      <c r="I19" s="122" t="s">
        <v>102</v>
      </c>
      <c r="J19" s="111"/>
      <c r="K19" s="109">
        <f>SUM(K17:K18)</f>
        <v>0</v>
      </c>
      <c r="L19" s="109">
        <f>SUM(L17:L18)</f>
        <v>0</v>
      </c>
    </row>
    <row r="20" spans="1:12" x14ac:dyDescent="0.25">
      <c r="A20" s="107" t="s">
        <v>103</v>
      </c>
      <c r="B20" s="113" t="s">
        <v>104</v>
      </c>
      <c r="C20" s="114">
        <v>6</v>
      </c>
      <c r="D20" s="115">
        <f>SUM(D21:D22)</f>
        <v>180000</v>
      </c>
      <c r="E20" s="115">
        <f t="shared" ref="E20:G20" si="5">SUM(E21:E22)</f>
        <v>0</v>
      </c>
      <c r="F20" s="115">
        <f t="shared" si="5"/>
        <v>180000</v>
      </c>
      <c r="G20" s="115">
        <f t="shared" si="5"/>
        <v>180000</v>
      </c>
      <c r="H20" s="103" t="s">
        <v>105</v>
      </c>
      <c r="I20" s="123" t="s">
        <v>106</v>
      </c>
      <c r="J20" s="120"/>
      <c r="K20" s="115">
        <f>SUM(K16,K19)</f>
        <v>102542964</v>
      </c>
      <c r="L20" s="115">
        <f>SUM(L16,L19)</f>
        <v>87576922</v>
      </c>
    </row>
    <row r="21" spans="1:12" x14ac:dyDescent="0.25">
      <c r="A21" s="107" t="s">
        <v>107</v>
      </c>
      <c r="B21" s="110" t="s">
        <v>108</v>
      </c>
      <c r="C21" s="109"/>
      <c r="D21" s="109">
        <v>0</v>
      </c>
      <c r="E21" s="109">
        <v>0</v>
      </c>
      <c r="F21" s="109">
        <f>D21-E21</f>
        <v>0</v>
      </c>
      <c r="G21" s="109">
        <v>0</v>
      </c>
      <c r="H21" s="107" t="s">
        <v>109</v>
      </c>
      <c r="I21" s="109" t="s">
        <v>110</v>
      </c>
      <c r="J21" s="107" t="s">
        <v>111</v>
      </c>
      <c r="K21" s="109">
        <v>0</v>
      </c>
      <c r="L21" s="109">
        <v>0</v>
      </c>
    </row>
    <row r="22" spans="1:12" x14ac:dyDescent="0.25">
      <c r="A22" s="107" t="s">
        <v>112</v>
      </c>
      <c r="B22" s="110" t="s">
        <v>113</v>
      </c>
      <c r="C22" s="109"/>
      <c r="D22" s="109">
        <v>180000</v>
      </c>
      <c r="E22" s="109">
        <v>0</v>
      </c>
      <c r="F22" s="109">
        <f>D22-E22</f>
        <v>180000</v>
      </c>
      <c r="G22" s="109">
        <v>180000</v>
      </c>
      <c r="H22" s="107" t="s">
        <v>114</v>
      </c>
      <c r="I22" s="109" t="s">
        <v>115</v>
      </c>
      <c r="J22" s="111" t="s">
        <v>111</v>
      </c>
      <c r="K22" s="109">
        <v>0</v>
      </c>
      <c r="L22" s="109">
        <v>0</v>
      </c>
    </row>
    <row r="23" spans="1:12" x14ac:dyDescent="0.25">
      <c r="A23" s="107"/>
      <c r="B23" s="110"/>
      <c r="C23" s="109"/>
      <c r="D23" s="109"/>
      <c r="E23" s="109"/>
      <c r="F23" s="109"/>
      <c r="G23" s="109"/>
      <c r="H23" s="107" t="s">
        <v>116</v>
      </c>
      <c r="I23" s="109" t="s">
        <v>117</v>
      </c>
      <c r="J23" s="111" t="s">
        <v>111</v>
      </c>
      <c r="K23" s="109">
        <v>0</v>
      </c>
      <c r="L23" s="109">
        <v>0</v>
      </c>
    </row>
    <row r="24" spans="1:12" x14ac:dyDescent="0.25">
      <c r="A24" s="107"/>
      <c r="B24" s="110"/>
      <c r="C24" s="109"/>
      <c r="D24" s="109"/>
      <c r="E24" s="109"/>
      <c r="F24" s="109"/>
      <c r="G24" s="109"/>
      <c r="H24" s="107" t="s">
        <v>118</v>
      </c>
      <c r="I24" s="123" t="s">
        <v>119</v>
      </c>
      <c r="J24" s="120"/>
      <c r="K24" s="115">
        <f>SUM(K21:K23)</f>
        <v>0</v>
      </c>
      <c r="L24" s="115">
        <f>SUM(L21:L23)</f>
        <v>0</v>
      </c>
    </row>
    <row r="25" spans="1:12" x14ac:dyDescent="0.25">
      <c r="A25" s="103" t="s">
        <v>120</v>
      </c>
      <c r="B25" s="124" t="s">
        <v>121</v>
      </c>
      <c r="C25" s="125"/>
      <c r="D25" s="125">
        <f>SUM(D20,D13,D9,D6)</f>
        <v>2632600</v>
      </c>
      <c r="E25" s="125">
        <f t="shared" ref="E25:G25" si="6">SUM(E20,E13,E9,E6)</f>
        <v>645821</v>
      </c>
      <c r="F25" s="125">
        <f t="shared" si="6"/>
        <v>1986779</v>
      </c>
      <c r="G25" s="125">
        <f t="shared" si="6"/>
        <v>1777661</v>
      </c>
      <c r="H25" s="111" t="s">
        <v>122</v>
      </c>
      <c r="I25" s="126" t="s">
        <v>123</v>
      </c>
      <c r="J25" s="127"/>
      <c r="K25" s="125">
        <f>SUM(K20,K24)</f>
        <v>102542964</v>
      </c>
      <c r="L25" s="125">
        <f>SUM(L20,L24)</f>
        <v>87576922</v>
      </c>
    </row>
    <row r="26" spans="1:12" x14ac:dyDescent="0.25">
      <c r="A26" s="107" t="s">
        <v>124</v>
      </c>
      <c r="B26" s="110" t="s">
        <v>125</v>
      </c>
      <c r="C26" s="107">
        <v>7</v>
      </c>
      <c r="D26" s="109">
        <v>0</v>
      </c>
      <c r="E26" s="109">
        <v>0</v>
      </c>
      <c r="F26" s="109">
        <f>D26-E26</f>
        <v>0</v>
      </c>
      <c r="G26" s="109">
        <v>0</v>
      </c>
      <c r="H26" s="111" t="s">
        <v>126</v>
      </c>
      <c r="I26" s="109" t="s">
        <v>127</v>
      </c>
      <c r="J26" s="111">
        <v>7</v>
      </c>
      <c r="K26" s="109">
        <v>0</v>
      </c>
      <c r="L26" s="109">
        <v>0</v>
      </c>
    </row>
    <row r="27" spans="1:12" x14ac:dyDescent="0.25">
      <c r="A27" s="107" t="s">
        <v>128</v>
      </c>
      <c r="B27" s="110" t="s">
        <v>129</v>
      </c>
      <c r="C27" s="107">
        <v>8</v>
      </c>
      <c r="D27" s="109">
        <v>0</v>
      </c>
      <c r="E27" s="109">
        <v>0</v>
      </c>
      <c r="F27" s="109">
        <f t="shared" ref="F27:F30" si="7">D27-E27</f>
        <v>0</v>
      </c>
      <c r="G27" s="109">
        <v>0</v>
      </c>
      <c r="H27" s="111" t="s">
        <v>130</v>
      </c>
      <c r="I27" s="109" t="s">
        <v>131</v>
      </c>
      <c r="J27" s="111">
        <v>9</v>
      </c>
      <c r="K27" s="109">
        <v>0</v>
      </c>
      <c r="L27" s="109">
        <v>0</v>
      </c>
    </row>
    <row r="28" spans="1:12" x14ac:dyDescent="0.25">
      <c r="A28" s="107" t="s">
        <v>132</v>
      </c>
      <c r="B28" s="110" t="s">
        <v>133</v>
      </c>
      <c r="C28" s="107">
        <v>19</v>
      </c>
      <c r="D28" s="109">
        <v>2875750</v>
      </c>
      <c r="E28" s="109">
        <v>0</v>
      </c>
      <c r="F28" s="109">
        <f t="shared" si="7"/>
        <v>2875750</v>
      </c>
      <c r="G28" s="109">
        <v>0</v>
      </c>
      <c r="H28" s="111" t="s">
        <v>134</v>
      </c>
      <c r="I28" s="109" t="s">
        <v>135</v>
      </c>
      <c r="J28" s="111">
        <v>19</v>
      </c>
      <c r="K28" s="109">
        <v>662000</v>
      </c>
      <c r="L28" s="109">
        <v>577255</v>
      </c>
    </row>
    <row r="29" spans="1:12" x14ac:dyDescent="0.25">
      <c r="A29" s="107" t="s">
        <v>136</v>
      </c>
      <c r="B29" s="110" t="s">
        <v>137</v>
      </c>
      <c r="C29" s="107">
        <v>9</v>
      </c>
      <c r="D29" s="109">
        <v>0</v>
      </c>
      <c r="E29" s="109">
        <v>0</v>
      </c>
      <c r="F29" s="109">
        <f t="shared" si="7"/>
        <v>0</v>
      </c>
      <c r="G29" s="109">
        <v>0</v>
      </c>
      <c r="H29" s="111" t="s">
        <v>138</v>
      </c>
      <c r="I29" s="109" t="s">
        <v>139</v>
      </c>
      <c r="J29" s="111" t="s">
        <v>140</v>
      </c>
      <c r="K29" s="109">
        <v>32940</v>
      </c>
      <c r="L29" s="109">
        <v>0</v>
      </c>
    </row>
    <row r="30" spans="1:12" x14ac:dyDescent="0.25">
      <c r="A30" s="107" t="s">
        <v>141</v>
      </c>
      <c r="B30" s="110" t="s">
        <v>142</v>
      </c>
      <c r="C30" s="107">
        <v>10</v>
      </c>
      <c r="D30" s="109">
        <v>0</v>
      </c>
      <c r="E30" s="109">
        <v>0</v>
      </c>
      <c r="F30" s="109">
        <f t="shared" si="7"/>
        <v>0</v>
      </c>
      <c r="G30" s="109">
        <v>0</v>
      </c>
      <c r="H30" s="111"/>
      <c r="I30" s="109"/>
      <c r="J30" s="111"/>
      <c r="K30" s="109"/>
      <c r="L30" s="109"/>
    </row>
    <row r="31" spans="1:12" x14ac:dyDescent="0.25">
      <c r="A31" s="103" t="s">
        <v>143</v>
      </c>
      <c r="B31" s="124" t="s">
        <v>144</v>
      </c>
      <c r="C31" s="128"/>
      <c r="D31" s="125">
        <f>SUM(D26:D30)</f>
        <v>2875750</v>
      </c>
      <c r="E31" s="125">
        <f t="shared" ref="E31:G31" si="8">SUM(E26:E30)</f>
        <v>0</v>
      </c>
      <c r="F31" s="125">
        <f t="shared" si="8"/>
        <v>2875750</v>
      </c>
      <c r="G31" s="125">
        <f t="shared" si="8"/>
        <v>0</v>
      </c>
      <c r="H31" s="121" t="s">
        <v>145</v>
      </c>
      <c r="I31" s="126" t="s">
        <v>146</v>
      </c>
      <c r="J31" s="127"/>
      <c r="K31" s="125">
        <f>SUM(K26:K29)</f>
        <v>694940</v>
      </c>
      <c r="L31" s="125">
        <f>SUM(L26:L29)</f>
        <v>577255</v>
      </c>
    </row>
    <row r="32" spans="1:12" x14ac:dyDescent="0.25">
      <c r="A32" s="107" t="s">
        <v>147</v>
      </c>
      <c r="B32" s="110" t="s">
        <v>148</v>
      </c>
      <c r="C32" s="107">
        <v>11</v>
      </c>
      <c r="D32" s="109">
        <v>0</v>
      </c>
      <c r="E32" s="109">
        <v>0</v>
      </c>
      <c r="F32" s="109">
        <f>D32-E32</f>
        <v>0</v>
      </c>
      <c r="G32" s="109">
        <v>0</v>
      </c>
      <c r="H32" s="107" t="s">
        <v>149</v>
      </c>
      <c r="I32" s="109" t="s">
        <v>150</v>
      </c>
      <c r="J32" s="111">
        <v>22</v>
      </c>
      <c r="K32" s="109">
        <v>0</v>
      </c>
      <c r="L32" s="109">
        <v>0</v>
      </c>
    </row>
    <row r="33" spans="1:12" x14ac:dyDescent="0.25">
      <c r="A33" s="107" t="s">
        <v>151</v>
      </c>
      <c r="B33" s="110" t="s">
        <v>152</v>
      </c>
      <c r="C33" s="107">
        <v>12</v>
      </c>
      <c r="D33" s="109">
        <v>0</v>
      </c>
      <c r="E33" s="109">
        <v>0</v>
      </c>
      <c r="F33" s="109">
        <f t="shared" ref="F33:F34" si="9">D33-E33</f>
        <v>0</v>
      </c>
      <c r="G33" s="109">
        <v>0</v>
      </c>
      <c r="H33" s="111"/>
      <c r="I33" s="109"/>
      <c r="J33" s="111"/>
      <c r="K33" s="109"/>
      <c r="L33" s="109"/>
    </row>
    <row r="34" ht="24" customHeight="1" spans="1:12" x14ac:dyDescent="0.25">
      <c r="A34" s="107" t="s">
        <v>153</v>
      </c>
      <c r="B34" s="110" t="s">
        <v>154</v>
      </c>
      <c r="C34" s="107">
        <v>13</v>
      </c>
      <c r="D34" s="109">
        <v>98375375</v>
      </c>
      <c r="E34" s="109">
        <v>0</v>
      </c>
      <c r="F34" s="109">
        <f t="shared" si="9"/>
        <v>98375375</v>
      </c>
      <c r="G34" s="109">
        <v>86376516</v>
      </c>
      <c r="H34" s="107"/>
      <c r="I34" s="109"/>
      <c r="J34" s="111"/>
      <c r="K34" s="109"/>
      <c r="L34" s="109"/>
    </row>
    <row r="35" spans="1:12" x14ac:dyDescent="0.25">
      <c r="A35" s="103" t="s">
        <v>155</v>
      </c>
      <c r="B35" s="124" t="s">
        <v>156</v>
      </c>
      <c r="C35" s="128"/>
      <c r="D35" s="125">
        <f>SUM(D32:D34)</f>
        <v>98375375</v>
      </c>
      <c r="E35" s="125">
        <f t="shared" ref="E35:G35" si="10">SUM(E32:E34)</f>
        <v>0</v>
      </c>
      <c r="F35" s="125">
        <f t="shared" si="10"/>
        <v>98375375</v>
      </c>
      <c r="G35" s="125">
        <f t="shared" si="10"/>
        <v>86376516</v>
      </c>
      <c r="H35" s="103" t="s">
        <v>157</v>
      </c>
      <c r="I35" s="126" t="s">
        <v>158</v>
      </c>
      <c r="J35" s="125"/>
      <c r="K35" s="125">
        <f>K32</f>
        <v>0</v>
      </c>
      <c r="L35" s="125">
        <f>L32</f>
        <v>0</v>
      </c>
    </row>
    <row r="36" spans="1:12" x14ac:dyDescent="0.25">
      <c r="A36" s="107" t="s">
        <v>159</v>
      </c>
      <c r="B36" s="110" t="s">
        <v>160</v>
      </c>
      <c r="C36" s="107">
        <v>14</v>
      </c>
      <c r="D36" s="109">
        <v>0</v>
      </c>
      <c r="E36" s="109">
        <v>0</v>
      </c>
      <c r="F36" s="109"/>
      <c r="G36" s="109">
        <v>0</v>
      </c>
      <c r="H36" s="107" t="s">
        <v>161</v>
      </c>
      <c r="I36" s="109" t="s">
        <v>162</v>
      </c>
      <c r="J36" s="109">
        <v>14</v>
      </c>
      <c r="K36" s="109">
        <v>0</v>
      </c>
      <c r="L36" s="109">
        <v>0</v>
      </c>
    </row>
    <row r="37" spans="1:12" x14ac:dyDescent="0.25">
      <c r="A37" s="112" t="s">
        <v>163</v>
      </c>
      <c r="B37" s="129" t="s">
        <v>164</v>
      </c>
      <c r="C37" s="130"/>
      <c r="D37" s="130">
        <f>SUM(D25,D31,D35,D36)</f>
        <v>103883725</v>
      </c>
      <c r="E37" s="130">
        <f t="shared" ref="E37:G37" si="11">SUM(E25,E31,E35,E36)</f>
        <v>645821</v>
      </c>
      <c r="F37" s="130">
        <f t="shared" si="11"/>
        <v>103237904</v>
      </c>
      <c r="G37" s="130">
        <f t="shared" si="11"/>
        <v>88154177</v>
      </c>
      <c r="H37" s="131" t="s">
        <v>165</v>
      </c>
      <c r="I37" s="132" t="s">
        <v>164</v>
      </c>
      <c r="J37" s="130"/>
      <c r="K37" s="130">
        <f>SUM(K25,K31,K35,K36)</f>
        <v>103237904</v>
      </c>
      <c r="L37" s="130">
        <f>SUM(L25,L31,L35,L36)</f>
        <v>88154177</v>
      </c>
    </row>
  </sheetData>
  <mergeCells count="7">
    <mergeCell ref="D4:F4"/>
    <mergeCell ref="A4:A5"/>
    <mergeCell ref="B4:B5"/>
    <mergeCell ref="C4:C5"/>
    <mergeCell ref="H4:H5"/>
    <mergeCell ref="I4:I5"/>
    <mergeCell ref="J4:J5"/>
  </mergeCells>
  <pageMargins left="0.7" right="0.7" top="0.75" bottom="0.75" header="0.3" footer="0.3"/>
  <pageSetup paperSize="9" orientation="landscape" horizontalDpi="4294967295" verticalDpi="4294967295" scale="63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34"/>
  <sheetViews>
    <sheetView workbookViewId="0" zoomScale="100" zoomScaleNormal="100">
      <selection activeCell="I32" sqref="I32"/>
    </sheetView>
  </sheetViews>
  <sheetFormatPr defaultRowHeight="13.8" outlineLevelRow="0" outlineLevelCol="0" x14ac:dyDescent="0.25" defaultColWidth="11.44140625" customHeight="1"/>
  <cols>
    <col min="1" max="1" width="5.44140625" style="133" customWidth="1"/>
    <col min="2" max="2" width="55.77734375" style="133" customWidth="1"/>
    <col min="3" max="3" width="8.5546875" style="133" customWidth="1"/>
    <col min="4" max="4" width="12" style="133" customWidth="1"/>
    <col min="5" max="5" width="13.88671875" style="133" customWidth="1"/>
    <col min="6" max="16384" width="11.44140625" style="133" customWidth="1"/>
  </cols>
  <sheetData>
    <row r="5" ht="27.6" customHeight="1" spans="1:5" x14ac:dyDescent="0.25">
      <c r="A5" s="134" t="s">
        <v>35</v>
      </c>
      <c r="B5" s="134" t="s">
        <v>166</v>
      </c>
      <c r="C5" s="134" t="s">
        <v>167</v>
      </c>
      <c r="D5" s="135" t="s">
        <v>38</v>
      </c>
      <c r="E5" s="135" t="s">
        <v>39</v>
      </c>
    </row>
    <row r="6" spans="1:5" x14ac:dyDescent="0.25">
      <c r="A6" s="136"/>
      <c r="B6" s="136"/>
      <c r="C6" s="136"/>
      <c r="D6" s="137" t="s">
        <v>43</v>
      </c>
      <c r="E6" s="137" t="s">
        <v>43</v>
      </c>
    </row>
    <row r="7" spans="1:5" x14ac:dyDescent="0.25">
      <c r="A7" s="138" t="s">
        <v>168</v>
      </c>
      <c r="B7" s="139" t="s">
        <v>169</v>
      </c>
      <c r="C7" s="138">
        <v>23</v>
      </c>
      <c r="D7" s="140">
        <v>12791669</v>
      </c>
      <c r="E7" s="141">
        <v>0</v>
      </c>
    </row>
    <row r="8" spans="1:5" x14ac:dyDescent="0.25">
      <c r="A8" s="138" t="s">
        <v>170</v>
      </c>
      <c r="B8" s="139" t="s">
        <v>171</v>
      </c>
      <c r="C8" s="138">
        <v>23</v>
      </c>
      <c r="D8" s="141">
        <v>0</v>
      </c>
      <c r="E8" s="141">
        <v>0</v>
      </c>
    </row>
    <row r="9" spans="1:5" x14ac:dyDescent="0.25">
      <c r="A9" s="138" t="s">
        <v>172</v>
      </c>
      <c r="B9" s="139" t="s">
        <v>173</v>
      </c>
      <c r="C9" s="138">
        <v>23</v>
      </c>
      <c r="D9" s="141">
        <v>112035596</v>
      </c>
      <c r="E9" s="141">
        <v>125670000</v>
      </c>
    </row>
    <row r="10" spans="1:5" x14ac:dyDescent="0.25">
      <c r="A10" s="138" t="s">
        <v>174</v>
      </c>
      <c r="B10" s="139" t="s">
        <v>175</v>
      </c>
      <c r="C10" s="138">
        <v>23</v>
      </c>
      <c r="D10" s="141">
        <v>0</v>
      </c>
      <c r="E10" s="141">
        <v>0</v>
      </c>
    </row>
    <row r="11" spans="1:5" x14ac:dyDescent="0.25">
      <c r="A11" s="138" t="s">
        <v>176</v>
      </c>
      <c r="B11" s="139" t="s">
        <v>177</v>
      </c>
      <c r="C11" s="138">
        <v>23</v>
      </c>
      <c r="D11" s="141">
        <v>0</v>
      </c>
      <c r="E11" s="141">
        <v>0</v>
      </c>
    </row>
    <row r="12" spans="1:5" x14ac:dyDescent="0.25">
      <c r="A12" s="138" t="s">
        <v>178</v>
      </c>
      <c r="B12" s="139" t="s">
        <v>179</v>
      </c>
      <c r="C12" s="138">
        <v>23</v>
      </c>
      <c r="D12" s="141">
        <v>0</v>
      </c>
      <c r="E12" s="141">
        <v>0</v>
      </c>
    </row>
    <row r="13" spans="1:5" x14ac:dyDescent="0.25">
      <c r="A13" s="138" t="s">
        <v>180</v>
      </c>
      <c r="B13" s="139" t="s">
        <v>181</v>
      </c>
      <c r="C13" s="138">
        <v>23</v>
      </c>
      <c r="D13" s="141">
        <v>0</v>
      </c>
      <c r="E13" s="141">
        <v>5255456</v>
      </c>
    </row>
    <row r="14" ht="27.6" customHeight="1" spans="1:5" x14ac:dyDescent="0.25">
      <c r="A14" s="138" t="s">
        <v>182</v>
      </c>
      <c r="B14" s="142" t="s">
        <v>183</v>
      </c>
      <c r="C14" s="138" t="s">
        <v>184</v>
      </c>
      <c r="D14" s="141">
        <v>0</v>
      </c>
      <c r="E14" s="141">
        <v>0</v>
      </c>
    </row>
    <row r="15" ht="27.6" customHeight="1" spans="1:5" x14ac:dyDescent="0.25">
      <c r="A15" s="138" t="s">
        <v>185</v>
      </c>
      <c r="B15" s="143" t="s">
        <v>186</v>
      </c>
      <c r="C15" s="144"/>
      <c r="D15" s="145">
        <f>SUM(D7:D14)</f>
        <v>124827265</v>
      </c>
      <c r="E15" s="145">
        <f>SUM(E7:E14)</f>
        <v>130925456</v>
      </c>
    </row>
    <row r="16" spans="1:5" x14ac:dyDescent="0.25">
      <c r="A16" s="138" t="s">
        <v>187</v>
      </c>
      <c r="B16" s="139" t="s">
        <v>188</v>
      </c>
      <c r="C16" s="138">
        <v>24</v>
      </c>
      <c r="D16" s="141">
        <v>24348375</v>
      </c>
      <c r="E16" s="141">
        <v>0</v>
      </c>
    </row>
    <row r="17" spans="1:5" x14ac:dyDescent="0.25">
      <c r="A17" s="138" t="s">
        <v>189</v>
      </c>
      <c r="B17" s="139" t="s">
        <v>190</v>
      </c>
      <c r="C17" s="138">
        <v>8</v>
      </c>
      <c r="D17" s="141">
        <v>0</v>
      </c>
      <c r="E17" s="141">
        <v>0</v>
      </c>
    </row>
    <row r="18" spans="1:5" x14ac:dyDescent="0.25">
      <c r="A18" s="138" t="s">
        <v>191</v>
      </c>
      <c r="B18" s="139" t="s">
        <v>192</v>
      </c>
      <c r="C18" s="138">
        <v>24</v>
      </c>
      <c r="D18" s="141">
        <v>0</v>
      </c>
      <c r="E18" s="141">
        <v>0</v>
      </c>
    </row>
    <row r="19" spans="1:5" x14ac:dyDescent="0.25">
      <c r="A19" s="138" t="s">
        <v>193</v>
      </c>
      <c r="B19" s="139" t="s">
        <v>194</v>
      </c>
      <c r="C19" s="138">
        <v>24</v>
      </c>
      <c r="D19" s="141">
        <v>50000</v>
      </c>
      <c r="E19" s="141">
        <v>1524950</v>
      </c>
    </row>
    <row r="20" ht="27.6" customHeight="1" spans="1:5" x14ac:dyDescent="0.25">
      <c r="A20" s="138" t="s">
        <v>195</v>
      </c>
      <c r="B20" s="142" t="s">
        <v>196</v>
      </c>
      <c r="C20" s="138">
        <v>8</v>
      </c>
      <c r="D20" s="141">
        <v>0</v>
      </c>
      <c r="E20" s="141">
        <v>100000</v>
      </c>
    </row>
    <row r="21" spans="1:5" x14ac:dyDescent="0.25">
      <c r="A21" s="138" t="s">
        <v>197</v>
      </c>
      <c r="B21" s="139" t="s">
        <v>198</v>
      </c>
      <c r="C21" s="138">
        <v>25</v>
      </c>
      <c r="D21" s="141">
        <v>49211943</v>
      </c>
      <c r="E21" s="141">
        <v>40067064</v>
      </c>
    </row>
    <row r="22" spans="1:5" x14ac:dyDescent="0.25">
      <c r="A22" s="138" t="s">
        <v>199</v>
      </c>
      <c r="B22" s="139" t="s">
        <v>200</v>
      </c>
      <c r="C22" s="138">
        <v>26</v>
      </c>
      <c r="D22" s="141">
        <v>35241523</v>
      </c>
      <c r="E22" s="141">
        <v>54053118</v>
      </c>
    </row>
    <row r="23" spans="1:5" x14ac:dyDescent="0.25">
      <c r="A23" s="138" t="s">
        <v>201</v>
      </c>
      <c r="B23" s="139" t="s">
        <v>202</v>
      </c>
      <c r="C23" s="138">
        <v>27</v>
      </c>
      <c r="D23" s="141">
        <v>0</v>
      </c>
      <c r="E23" s="141">
        <v>132300</v>
      </c>
    </row>
    <row r="24" spans="1:5" x14ac:dyDescent="0.25">
      <c r="A24" s="138" t="s">
        <v>203</v>
      </c>
      <c r="B24" s="139" t="s">
        <v>204</v>
      </c>
      <c r="C24" s="138">
        <v>28</v>
      </c>
      <c r="D24" s="141">
        <v>762500</v>
      </c>
      <c r="E24" s="141">
        <v>3160680</v>
      </c>
    </row>
    <row r="25" spans="1:5" x14ac:dyDescent="0.25">
      <c r="A25" s="138" t="s">
        <v>205</v>
      </c>
      <c r="B25" s="139" t="s">
        <v>206</v>
      </c>
      <c r="C25" s="138">
        <v>29</v>
      </c>
      <c r="D25" s="141">
        <v>0</v>
      </c>
      <c r="E25" s="141">
        <v>0</v>
      </c>
    </row>
    <row r="26" spans="1:5" x14ac:dyDescent="0.25">
      <c r="A26" s="138" t="s">
        <v>207</v>
      </c>
      <c r="B26" s="139" t="s">
        <v>208</v>
      </c>
      <c r="C26" s="138">
        <v>31</v>
      </c>
      <c r="D26" s="141">
        <v>0</v>
      </c>
      <c r="E26" s="141">
        <v>0</v>
      </c>
    </row>
    <row r="27" ht="27.6" customHeight="1" spans="1:5" x14ac:dyDescent="0.25">
      <c r="A27" s="138" t="s">
        <v>209</v>
      </c>
      <c r="B27" s="142" t="s">
        <v>210</v>
      </c>
      <c r="C27" s="138" t="s">
        <v>184</v>
      </c>
      <c r="D27" s="141">
        <v>475882</v>
      </c>
      <c r="E27" s="141">
        <v>169939</v>
      </c>
    </row>
    <row r="28" ht="27.6" customHeight="1" spans="1:7" x14ac:dyDescent="0.25">
      <c r="A28" s="138" t="s">
        <v>211</v>
      </c>
      <c r="B28" s="143" t="s">
        <v>212</v>
      </c>
      <c r="C28" s="144"/>
      <c r="D28" s="145">
        <f>SUM(D16:D27)</f>
        <v>110090223</v>
      </c>
      <c r="E28" s="145">
        <f>SUM(E16:E27)</f>
        <v>99208051</v>
      </c>
      <c r="G28" s="133" t="s">
        <v>27</v>
      </c>
    </row>
    <row r="29" spans="1:5" x14ac:dyDescent="0.25">
      <c r="A29" s="138" t="s">
        <v>213</v>
      </c>
      <c r="B29" s="146" t="s">
        <v>214</v>
      </c>
      <c r="C29" s="138"/>
      <c r="D29" s="141">
        <f>D15-D28</f>
        <v>14737042</v>
      </c>
      <c r="E29" s="141">
        <f>E15-E28</f>
        <v>31717405</v>
      </c>
    </row>
    <row r="30" spans="1:5" x14ac:dyDescent="0.25">
      <c r="A30" s="138" t="s">
        <v>215</v>
      </c>
      <c r="B30" s="139" t="s">
        <v>216</v>
      </c>
      <c r="C30" s="138">
        <v>32</v>
      </c>
      <c r="D30" s="141">
        <v>0</v>
      </c>
      <c r="E30" s="141">
        <v>0</v>
      </c>
    </row>
    <row r="31" spans="1:5" x14ac:dyDescent="0.25">
      <c r="A31" s="138" t="s">
        <v>217</v>
      </c>
      <c r="B31" s="139" t="s">
        <v>218</v>
      </c>
      <c r="C31" s="138">
        <v>32</v>
      </c>
      <c r="D31" s="141">
        <v>0</v>
      </c>
      <c r="E31" s="141">
        <v>0</v>
      </c>
    </row>
    <row r="32" spans="1:5" x14ac:dyDescent="0.25">
      <c r="A32" s="138" t="s">
        <v>219</v>
      </c>
      <c r="B32" s="146" t="s">
        <v>220</v>
      </c>
      <c r="C32" s="138"/>
      <c r="D32" s="141">
        <f>D30-D31</f>
        <v>0</v>
      </c>
      <c r="E32" s="141">
        <f>E30-E31</f>
        <v>0</v>
      </c>
    </row>
    <row r="33" ht="27.6" customHeight="1" spans="1:5" x14ac:dyDescent="0.25">
      <c r="A33" s="138" t="s">
        <v>221</v>
      </c>
      <c r="B33" s="147" t="s">
        <v>222</v>
      </c>
      <c r="C33" s="148"/>
      <c r="D33" s="149">
        <f>D29+D32</f>
        <v>14737042</v>
      </c>
      <c r="E33" s="149">
        <f>E29+E32</f>
        <v>31717405</v>
      </c>
    </row>
    <row r="34" spans="1:5" x14ac:dyDescent="0.25">
      <c r="A34" s="150"/>
      <c r="B34" s="150"/>
      <c r="C34" s="150"/>
      <c r="D34" s="150"/>
      <c r="E34" s="150"/>
    </row>
  </sheetData>
  <mergeCells count="3">
    <mergeCell ref="A5:A6"/>
    <mergeCell ref="B5:B6"/>
    <mergeCell ref="C5:C6"/>
  </mergeCells>
  <pageMargins left="0.7" right="0.7" top="0.75" bottom="0.75" header="0.3" footer="0.3"/>
  <pageSetup paperSize="9" orientation="portrait" horizontalDpi="4294967295" verticalDpi="4294967295" scale="8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38"/>
  <sheetViews>
    <sheetView workbookViewId="0" zoomScale="96" zoomScaleNormal="100">
      <selection activeCell="G15" sqref="G15"/>
    </sheetView>
  </sheetViews>
  <sheetFormatPr defaultRowHeight="13.8" outlineLevelRow="0" outlineLevelCol="0" x14ac:dyDescent="0.25" defaultColWidth="11.44140625" customHeight="1"/>
  <cols>
    <col min="1" max="1" width="4.77734375" style="133" customWidth="1"/>
    <col min="2" max="2" width="57.5546875" style="133" customWidth="1"/>
    <col min="3" max="3" width="5" style="133" customWidth="1"/>
    <col min="4" max="4" width="7.88671875" style="133" customWidth="1"/>
    <col min="5" max="5" width="15.21875" style="133" customWidth="1"/>
    <col min="6" max="6" width="13.77734375" style="133" customWidth="1"/>
    <col min="7" max="16384" width="11.44140625" style="133" customWidth="1"/>
  </cols>
  <sheetData>
    <row r="4" ht="27.6" customHeight="1" spans="1:6" x14ac:dyDescent="0.25">
      <c r="A4" s="153" t="s">
        <v>35</v>
      </c>
      <c r="B4" s="159" t="s">
        <v>166</v>
      </c>
      <c r="C4" s="160"/>
      <c r="D4" s="153" t="s">
        <v>37</v>
      </c>
      <c r="E4" s="152" t="s">
        <v>239</v>
      </c>
      <c r="F4" s="152" t="s">
        <v>240</v>
      </c>
    </row>
    <row r="5" spans="1:6" x14ac:dyDescent="0.25">
      <c r="A5" s="161" t="s">
        <v>241</v>
      </c>
      <c r="B5" s="162" t="s">
        <v>242</v>
      </c>
      <c r="C5" s="163" t="s">
        <v>243</v>
      </c>
      <c r="D5" s="164"/>
      <c r="E5" s="164">
        <v>86376516</v>
      </c>
      <c r="F5" s="164">
        <v>55457517</v>
      </c>
    </row>
    <row r="6" spans="1:6" x14ac:dyDescent="0.25">
      <c r="A6" s="161"/>
      <c r="B6" s="165" t="s">
        <v>244</v>
      </c>
      <c r="C6" s="166"/>
      <c r="D6" s="167"/>
      <c r="E6" s="167"/>
      <c r="F6" s="167"/>
    </row>
    <row r="7" spans="1:6" x14ac:dyDescent="0.25">
      <c r="A7" s="138"/>
      <c r="B7" s="168" t="s">
        <v>245</v>
      </c>
      <c r="C7" s="138"/>
      <c r="D7" s="169"/>
      <c r="E7" s="169"/>
      <c r="F7" s="169"/>
    </row>
    <row r="8" spans="1:6" x14ac:dyDescent="0.25">
      <c r="A8" s="138" t="s">
        <v>246</v>
      </c>
      <c r="B8" s="169" t="s">
        <v>247</v>
      </c>
      <c r="C8" s="138"/>
      <c r="D8" s="169"/>
      <c r="E8" s="169">
        <v>12791669</v>
      </c>
      <c r="F8" s="169">
        <v>0</v>
      </c>
    </row>
    <row r="9" spans="1:6" x14ac:dyDescent="0.25">
      <c r="A9" s="138" t="s">
        <v>248</v>
      </c>
      <c r="B9" s="169" t="s">
        <v>249</v>
      </c>
      <c r="C9" s="138"/>
      <c r="D9" s="169"/>
      <c r="E9" s="169">
        <v>0</v>
      </c>
      <c r="F9" s="169">
        <v>0</v>
      </c>
    </row>
    <row r="10" spans="1:6" x14ac:dyDescent="0.25">
      <c r="A10" s="138" t="s">
        <v>250</v>
      </c>
      <c r="B10" s="169" t="s">
        <v>251</v>
      </c>
      <c r="C10" s="138"/>
      <c r="D10" s="169"/>
      <c r="E10" s="169">
        <v>112035596</v>
      </c>
      <c r="F10" s="169">
        <v>125670000</v>
      </c>
    </row>
    <row r="11" spans="1:6" x14ac:dyDescent="0.25">
      <c r="A11" s="138" t="s">
        <v>252</v>
      </c>
      <c r="B11" s="169" t="s">
        <v>253</v>
      </c>
      <c r="C11" s="138"/>
      <c r="D11" s="169"/>
      <c r="E11" s="169">
        <v>0</v>
      </c>
      <c r="F11" s="169">
        <v>0</v>
      </c>
    </row>
    <row r="12" spans="1:6" x14ac:dyDescent="0.25">
      <c r="A12" s="138" t="s">
        <v>254</v>
      </c>
      <c r="B12" s="169" t="s">
        <v>255</v>
      </c>
      <c r="C12" s="138"/>
      <c r="D12" s="169"/>
      <c r="E12" s="169">
        <v>326000</v>
      </c>
      <c r="F12" s="169">
        <v>5255456</v>
      </c>
    </row>
    <row r="13" spans="1:6" x14ac:dyDescent="0.25">
      <c r="A13" s="138" t="s">
        <v>256</v>
      </c>
      <c r="B13" s="169" t="s">
        <v>257</v>
      </c>
      <c r="C13" s="138"/>
      <c r="D13" s="169"/>
      <c r="E13" s="169">
        <v>112469406</v>
      </c>
      <c r="F13" s="169">
        <v>98058857</v>
      </c>
    </row>
    <row r="14" spans="1:6" x14ac:dyDescent="0.25">
      <c r="A14" s="138" t="s">
        <v>258</v>
      </c>
      <c r="B14" s="169" t="s">
        <v>259</v>
      </c>
      <c r="C14" s="138"/>
      <c r="D14" s="169"/>
      <c r="E14" s="169">
        <v>0</v>
      </c>
      <c r="F14" s="169">
        <v>0</v>
      </c>
    </row>
    <row r="15" spans="1:6" x14ac:dyDescent="0.25">
      <c r="A15" s="138" t="s">
        <v>260</v>
      </c>
      <c r="B15" s="169" t="s">
        <v>261</v>
      </c>
      <c r="C15" s="138"/>
      <c r="D15" s="169"/>
      <c r="E15" s="169">
        <v>0</v>
      </c>
      <c r="F15" s="169">
        <v>0</v>
      </c>
    </row>
    <row r="16" ht="27.6" customHeight="1" spans="1:6" x14ac:dyDescent="0.25">
      <c r="A16" s="161" t="s">
        <v>262</v>
      </c>
      <c r="B16" s="170" t="s">
        <v>263</v>
      </c>
      <c r="C16" s="171" t="s">
        <v>264</v>
      </c>
      <c r="D16" s="172"/>
      <c r="E16" s="172">
        <f>E8+E9+E10+E11+E12-E13-E14-E15</f>
        <v>12683859</v>
      </c>
      <c r="F16" s="172">
        <f>F8+F9+F10+F11+F12-F13-F14-F15</f>
        <v>32866599</v>
      </c>
    </row>
    <row r="17" spans="1:6" x14ac:dyDescent="0.25">
      <c r="A17" s="173"/>
      <c r="B17" s="168" t="s">
        <v>265</v>
      </c>
      <c r="C17" s="138"/>
      <c r="D17" s="169"/>
      <c r="E17" s="169"/>
      <c r="F17" s="169"/>
    </row>
    <row r="18" ht="27.6" customHeight="1" spans="1:6" x14ac:dyDescent="0.25">
      <c r="A18" s="138" t="s">
        <v>266</v>
      </c>
      <c r="B18" s="174" t="s">
        <v>267</v>
      </c>
      <c r="C18" s="138"/>
      <c r="D18" s="169"/>
      <c r="E18" s="169">
        <v>685000</v>
      </c>
      <c r="F18" s="169">
        <v>1767600</v>
      </c>
    </row>
    <row r="19" spans="1:6" x14ac:dyDescent="0.25">
      <c r="A19" s="138" t="s">
        <v>268</v>
      </c>
      <c r="B19" s="175" t="s">
        <v>269</v>
      </c>
      <c r="C19" s="138"/>
      <c r="D19" s="169"/>
      <c r="E19" s="169">
        <v>0</v>
      </c>
      <c r="F19" s="169">
        <v>180000</v>
      </c>
    </row>
    <row r="20" ht="27.6" customHeight="1" spans="1:6" x14ac:dyDescent="0.25">
      <c r="A20" s="138" t="s">
        <v>270</v>
      </c>
      <c r="B20" s="174" t="s">
        <v>271</v>
      </c>
      <c r="C20" s="138"/>
      <c r="D20" s="169"/>
      <c r="E20" s="169">
        <v>0</v>
      </c>
      <c r="F20" s="169">
        <v>0</v>
      </c>
    </row>
    <row r="21" spans="1:6" x14ac:dyDescent="0.25">
      <c r="A21" s="138" t="s">
        <v>272</v>
      </c>
      <c r="B21" s="169" t="s">
        <v>273</v>
      </c>
      <c r="C21" s="138"/>
      <c r="D21" s="169"/>
      <c r="E21" s="169">
        <v>0</v>
      </c>
      <c r="F21" s="169">
        <v>0</v>
      </c>
    </row>
    <row r="22" ht="27.6" customHeight="1" spans="1:6" x14ac:dyDescent="0.25">
      <c r="A22" s="161" t="s">
        <v>274</v>
      </c>
      <c r="B22" s="176" t="s">
        <v>275</v>
      </c>
      <c r="C22" s="171" t="s">
        <v>276</v>
      </c>
      <c r="D22" s="172"/>
      <c r="E22" s="172">
        <f>-E18-E19+E20+E21</f>
        <v>-685000</v>
      </c>
      <c r="F22" s="172">
        <f>-F18-F19+F20+F21</f>
        <v>-1947600</v>
      </c>
    </row>
    <row r="23" ht="27.6" customHeight="1" spans="1:6" x14ac:dyDescent="0.25">
      <c r="A23" s="138"/>
      <c r="B23" s="177" t="s">
        <v>277</v>
      </c>
      <c r="C23" s="138"/>
      <c r="D23" s="169"/>
      <c r="E23" s="169"/>
      <c r="F23" s="169"/>
    </row>
    <row r="24" spans="1:6" x14ac:dyDescent="0.25">
      <c r="A24" s="138" t="s">
        <v>278</v>
      </c>
      <c r="B24" s="169" t="s">
        <v>279</v>
      </c>
      <c r="C24" s="138"/>
      <c r="D24" s="169"/>
      <c r="E24" s="169">
        <v>0</v>
      </c>
      <c r="F24" s="169">
        <v>0</v>
      </c>
    </row>
    <row r="25" spans="1:6" x14ac:dyDescent="0.25">
      <c r="A25" s="138" t="s">
        <v>280</v>
      </c>
      <c r="B25" s="169" t="s">
        <v>281</v>
      </c>
      <c r="C25" s="138"/>
      <c r="D25" s="169"/>
      <c r="E25" s="169">
        <v>0</v>
      </c>
      <c r="F25" s="169">
        <v>0</v>
      </c>
    </row>
    <row r="26" spans="1:6" x14ac:dyDescent="0.25">
      <c r="A26" s="138" t="s">
        <v>282</v>
      </c>
      <c r="B26" s="169" t="s">
        <v>283</v>
      </c>
      <c r="C26" s="138"/>
      <c r="D26" s="169"/>
      <c r="E26" s="169">
        <v>0</v>
      </c>
      <c r="F26" s="169">
        <v>0</v>
      </c>
    </row>
    <row r="27" ht="27.6" customHeight="1" spans="1:6" x14ac:dyDescent="0.25">
      <c r="A27" s="161" t="s">
        <v>284</v>
      </c>
      <c r="B27" s="178" t="s">
        <v>285</v>
      </c>
      <c r="C27" s="179" t="s">
        <v>286</v>
      </c>
      <c r="D27" s="180"/>
      <c r="E27" s="180">
        <f>E24+E25-E26</f>
        <v>0</v>
      </c>
      <c r="F27" s="180">
        <f>F24+F25-F26</f>
        <v>0</v>
      </c>
    </row>
    <row r="28" spans="1:6" x14ac:dyDescent="0.25">
      <c r="A28" s="138"/>
      <c r="B28" s="169" t="s">
        <v>287</v>
      </c>
      <c r="C28" s="138"/>
      <c r="D28" s="169"/>
      <c r="E28" s="169"/>
      <c r="F28" s="169"/>
    </row>
    <row r="29" ht="27.6" customHeight="1" spans="1:6" x14ac:dyDescent="0.25">
      <c r="A29" s="138" t="s">
        <v>288</v>
      </c>
      <c r="B29" s="174" t="s">
        <v>289</v>
      </c>
      <c r="C29" s="138"/>
      <c r="D29" s="169"/>
      <c r="E29" s="169">
        <v>0</v>
      </c>
      <c r="F29" s="169">
        <v>0</v>
      </c>
    </row>
    <row r="30" spans="1:6" x14ac:dyDescent="0.25">
      <c r="A30" s="138" t="s">
        <v>290</v>
      </c>
      <c r="B30" s="169" t="s">
        <v>291</v>
      </c>
      <c r="C30" s="138"/>
      <c r="D30" s="169"/>
      <c r="E30" s="169">
        <v>0</v>
      </c>
      <c r="F30" s="169">
        <v>0</v>
      </c>
    </row>
    <row r="31" spans="1:6" x14ac:dyDescent="0.25">
      <c r="A31" s="138" t="s">
        <v>292</v>
      </c>
      <c r="B31" s="181" t="s">
        <v>293</v>
      </c>
      <c r="C31" s="161" t="s">
        <v>294</v>
      </c>
      <c r="D31" s="169"/>
      <c r="E31" s="169">
        <f>E29-E30</f>
        <v>0</v>
      </c>
      <c r="F31" s="169">
        <f>F29-F30</f>
        <v>0</v>
      </c>
    </row>
    <row r="32" spans="1:6" x14ac:dyDescent="0.25">
      <c r="A32" s="138"/>
      <c r="B32" s="170" t="s">
        <v>295</v>
      </c>
      <c r="C32" s="144"/>
      <c r="D32" s="172"/>
      <c r="E32" s="172">
        <f>E27+E31</f>
        <v>0</v>
      </c>
      <c r="F32" s="172">
        <f>F27+F31</f>
        <v>0</v>
      </c>
    </row>
    <row r="33" ht="27.6" customHeight="1" spans="1:6" x14ac:dyDescent="0.25">
      <c r="A33" s="138" t="s">
        <v>296</v>
      </c>
      <c r="B33" s="182" t="s">
        <v>297</v>
      </c>
      <c r="C33" s="183" t="s">
        <v>298</v>
      </c>
      <c r="D33" s="184"/>
      <c r="E33" s="184">
        <f>E16+E22+E27+E31</f>
        <v>11998859</v>
      </c>
      <c r="F33" s="184">
        <f>F16+F22+F27+F31</f>
        <v>30918999</v>
      </c>
    </row>
    <row r="34" spans="1:6" x14ac:dyDescent="0.25">
      <c r="A34" s="138"/>
      <c r="B34" s="169"/>
      <c r="C34" s="138"/>
      <c r="D34" s="169"/>
      <c r="E34" s="169"/>
      <c r="F34" s="169"/>
    </row>
    <row r="35" ht="27.6" customHeight="1" spans="1:6" x14ac:dyDescent="0.25">
      <c r="A35" s="161" t="s">
        <v>299</v>
      </c>
      <c r="B35" s="185" t="s">
        <v>300</v>
      </c>
      <c r="C35" s="183" t="s">
        <v>301</v>
      </c>
      <c r="D35" s="184"/>
      <c r="E35" s="184">
        <f>E33+E5</f>
        <v>98375375</v>
      </c>
      <c r="F35" s="184">
        <f>F33+F5</f>
        <v>86376516</v>
      </c>
    </row>
    <row r="38" spans="1:2" x14ac:dyDescent="0.25">
      <c r="A38" s="186" t="s">
        <v>302</v>
      </c>
      <c r="B38" s="186"/>
    </row>
  </sheetData>
  <mergeCells count="5">
    <mergeCell ref="B4:C4"/>
    <mergeCell ref="C5:C6"/>
    <mergeCell ref="E5:E6"/>
    <mergeCell ref="F5:F6"/>
    <mergeCell ref="A38:B38"/>
  </mergeCells>
  <pageMargins left="0.7" right="0.7" top="0.75" bottom="0.75" header="0.3" footer="0.3"/>
  <pageSetup paperSize="9" orientation="portrait" horizontalDpi="4294967295" verticalDpi="4294967295" scale="69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 zoomScale="100" zoomScaleNormal="100">
      <selection activeCell="F10" sqref="F10"/>
    </sheetView>
  </sheetViews>
  <sheetFormatPr defaultRowHeight="13.8" outlineLevelRow="0" outlineLevelCol="0" x14ac:dyDescent="0.25" defaultColWidth="11.44140625" customHeight="1"/>
  <cols>
    <col min="1" max="1" width="11.44140625" style="133" customWidth="1"/>
    <col min="2" max="2" width="89.44140625" style="133" customWidth="1"/>
    <col min="3" max="3" width="3.77734375" style="133" customWidth="1"/>
    <col min="4" max="4" width="4.88671875" style="133" customWidth="1"/>
    <col min="5" max="16384" width="11.44140625" style="133" customWidth="1"/>
  </cols>
  <sheetData>
    <row r="1" spans="2:2" x14ac:dyDescent="0.25">
      <c r="B1" s="187"/>
    </row>
    <row r="2" spans="2:2" x14ac:dyDescent="0.25">
      <c r="B2" s="187"/>
    </row>
    <row r="3" spans="2:2" x14ac:dyDescent="0.25">
      <c r="B3" s="187"/>
    </row>
    <row r="4" spans="1:4" x14ac:dyDescent="0.25">
      <c r="A4" s="137" t="s">
        <v>303</v>
      </c>
      <c r="B4" s="135" t="s">
        <v>304</v>
      </c>
      <c r="C4" s="188" t="s">
        <v>243</v>
      </c>
      <c r="D4" s="188" t="s">
        <v>305</v>
      </c>
    </row>
    <row r="5" spans="1:4" x14ac:dyDescent="0.25">
      <c r="A5" s="189" t="s">
        <v>306</v>
      </c>
      <c r="B5" s="189"/>
      <c r="C5" s="189"/>
      <c r="D5" s="189"/>
    </row>
    <row r="6" spans="1:4" x14ac:dyDescent="0.25">
      <c r="A6" s="168" t="s">
        <v>307</v>
      </c>
      <c r="B6" s="190" t="s">
        <v>308</v>
      </c>
      <c r="C6" s="168"/>
      <c r="D6" s="168"/>
    </row>
    <row r="7" spans="1:4" x14ac:dyDescent="0.25">
      <c r="A7" s="168" t="s">
        <v>309</v>
      </c>
      <c r="B7" s="191" t="s">
        <v>310</v>
      </c>
      <c r="C7" s="168"/>
      <c r="D7" s="168"/>
    </row>
    <row r="8" spans="1:4" x14ac:dyDescent="0.25">
      <c r="A8" s="168" t="s">
        <v>311</v>
      </c>
      <c r="B8" s="191" t="s">
        <v>312</v>
      </c>
      <c r="C8" s="168"/>
      <c r="D8" s="168"/>
    </row>
    <row r="9" spans="1:4" x14ac:dyDescent="0.25">
      <c r="A9" s="168" t="s">
        <v>313</v>
      </c>
      <c r="B9" s="191" t="s">
        <v>314</v>
      </c>
      <c r="C9" s="168"/>
      <c r="D9" s="168"/>
    </row>
    <row r="10" spans="1:4" x14ac:dyDescent="0.25">
      <c r="A10" s="192" t="s">
        <v>315</v>
      </c>
      <c r="B10" s="193"/>
      <c r="C10" s="193"/>
      <c r="D10" s="194"/>
    </row>
    <row r="11" spans="1:4" x14ac:dyDescent="0.25">
      <c r="A11" s="168" t="s">
        <v>316</v>
      </c>
      <c r="B11" s="191" t="s">
        <v>317</v>
      </c>
      <c r="C11" s="168"/>
      <c r="D11" s="168"/>
    </row>
    <row r="12" spans="1:4" x14ac:dyDescent="0.25">
      <c r="A12" s="168" t="s">
        <v>318</v>
      </c>
      <c r="B12" s="191" t="s">
        <v>319</v>
      </c>
      <c r="C12" s="168"/>
      <c r="D12" s="168"/>
    </row>
    <row r="13" spans="1:4" x14ac:dyDescent="0.25">
      <c r="A13" s="168" t="s">
        <v>320</v>
      </c>
      <c r="B13" s="191" t="s">
        <v>321</v>
      </c>
      <c r="C13" s="168"/>
      <c r="D13" s="168"/>
    </row>
    <row r="14" ht="27.6" customHeight="1" spans="1:4" x14ac:dyDescent="0.25">
      <c r="A14" s="168" t="s">
        <v>322</v>
      </c>
      <c r="B14" s="191" t="s">
        <v>323</v>
      </c>
      <c r="C14" s="168"/>
      <c r="D14" s="168"/>
    </row>
    <row r="15" spans="1:4" x14ac:dyDescent="0.25">
      <c r="A15" s="168" t="s">
        <v>324</v>
      </c>
      <c r="B15" s="191" t="s">
        <v>325</v>
      </c>
      <c r="C15" s="168"/>
      <c r="D15" s="168"/>
    </row>
    <row r="16" spans="1:4" x14ac:dyDescent="0.25">
      <c r="A16" s="168" t="s">
        <v>326</v>
      </c>
      <c r="B16" s="191" t="s">
        <v>327</v>
      </c>
      <c r="C16" s="168"/>
      <c r="D16" s="168"/>
    </row>
    <row r="17" spans="1:4" x14ac:dyDescent="0.25">
      <c r="A17" s="168" t="s">
        <v>328</v>
      </c>
      <c r="B17" s="191" t="s">
        <v>329</v>
      </c>
      <c r="C17" s="168"/>
      <c r="D17" s="168"/>
    </row>
    <row r="18" spans="1:4" x14ac:dyDescent="0.25">
      <c r="A18" s="168" t="s">
        <v>330</v>
      </c>
      <c r="B18" s="191" t="s">
        <v>331</v>
      </c>
      <c r="C18" s="168"/>
      <c r="D18" s="168"/>
    </row>
    <row r="19" spans="1:4" x14ac:dyDescent="0.25">
      <c r="A19" s="168" t="s">
        <v>332</v>
      </c>
      <c r="B19" s="191" t="s">
        <v>333</v>
      </c>
      <c r="C19" s="168"/>
      <c r="D19" s="168"/>
    </row>
    <row r="20" spans="1:4" x14ac:dyDescent="0.25">
      <c r="A20" s="168" t="s">
        <v>334</v>
      </c>
      <c r="B20" s="191" t="s">
        <v>335</v>
      </c>
      <c r="C20" s="168"/>
      <c r="D20" s="168"/>
    </row>
    <row r="21" spans="1:4" x14ac:dyDescent="0.25">
      <c r="A21" s="168" t="s">
        <v>336</v>
      </c>
      <c r="B21" s="191" t="s">
        <v>129</v>
      </c>
      <c r="C21" s="168"/>
      <c r="D21" s="168"/>
    </row>
    <row r="22" spans="1:4" x14ac:dyDescent="0.25">
      <c r="A22" s="168" t="s">
        <v>337</v>
      </c>
      <c r="B22" s="191" t="s">
        <v>338</v>
      </c>
      <c r="C22" s="168"/>
      <c r="D22" s="168"/>
    </row>
    <row r="23" spans="1:4" x14ac:dyDescent="0.25">
      <c r="A23" s="168" t="s">
        <v>339</v>
      </c>
      <c r="B23" s="191" t="s">
        <v>142</v>
      </c>
      <c r="C23" s="168"/>
      <c r="D23" s="168"/>
    </row>
    <row r="24" spans="1:4" x14ac:dyDescent="0.25">
      <c r="A24" s="168" t="s">
        <v>340</v>
      </c>
      <c r="B24" s="191" t="s">
        <v>341</v>
      </c>
      <c r="C24" s="168"/>
      <c r="D24" s="168"/>
    </row>
    <row r="25" spans="1:4" x14ac:dyDescent="0.25">
      <c r="A25" s="168" t="s">
        <v>342</v>
      </c>
      <c r="B25" s="191" t="s">
        <v>152</v>
      </c>
      <c r="C25" s="168"/>
      <c r="D25" s="168"/>
    </row>
    <row r="26" spans="1:4" x14ac:dyDescent="0.25">
      <c r="A26" s="168" t="s">
        <v>343</v>
      </c>
      <c r="B26" s="191" t="s">
        <v>344</v>
      </c>
      <c r="C26" s="168"/>
      <c r="D26" s="168"/>
    </row>
    <row r="27" spans="1:4" x14ac:dyDescent="0.25">
      <c r="A27" s="168" t="s">
        <v>345</v>
      </c>
      <c r="B27" s="191" t="s">
        <v>346</v>
      </c>
      <c r="C27" s="168"/>
      <c r="D27" s="168"/>
    </row>
    <row r="28" spans="1:4" x14ac:dyDescent="0.25">
      <c r="A28" s="168" t="s">
        <v>347</v>
      </c>
      <c r="B28" s="191" t="s">
        <v>348</v>
      </c>
      <c r="C28" s="168"/>
      <c r="D28" s="168"/>
    </row>
    <row r="29" spans="1:4" x14ac:dyDescent="0.25">
      <c r="A29" s="168" t="s">
        <v>349</v>
      </c>
      <c r="B29" s="191" t="s">
        <v>68</v>
      </c>
      <c r="C29" s="168"/>
      <c r="D29" s="168"/>
    </row>
    <row r="30" spans="1:4" x14ac:dyDescent="0.25">
      <c r="A30" s="168" t="s">
        <v>350</v>
      </c>
      <c r="B30" s="191" t="s">
        <v>351</v>
      </c>
      <c r="C30" s="168"/>
      <c r="D30" s="168"/>
    </row>
    <row r="31" spans="1:4" x14ac:dyDescent="0.25">
      <c r="A31" s="168" t="s">
        <v>352</v>
      </c>
      <c r="B31" s="191" t="s">
        <v>353</v>
      </c>
      <c r="C31" s="168"/>
      <c r="D31" s="168"/>
    </row>
    <row r="32" spans="1:4" x14ac:dyDescent="0.25">
      <c r="A32" s="168" t="s">
        <v>354</v>
      </c>
      <c r="B32" s="191" t="s">
        <v>355</v>
      </c>
      <c r="C32" s="168"/>
      <c r="D32" s="168"/>
    </row>
    <row r="33" spans="1:4" x14ac:dyDescent="0.25">
      <c r="A33" s="168" t="s">
        <v>356</v>
      </c>
      <c r="B33" s="191" t="s">
        <v>357</v>
      </c>
      <c r="C33" s="168"/>
      <c r="D33" s="168"/>
    </row>
    <row r="34" spans="1:4" x14ac:dyDescent="0.25">
      <c r="A34" s="168" t="s">
        <v>358</v>
      </c>
      <c r="B34" s="191" t="s">
        <v>359</v>
      </c>
      <c r="C34" s="168"/>
      <c r="D34" s="168"/>
    </row>
    <row r="35" spans="1:4" x14ac:dyDescent="0.25">
      <c r="A35" s="168" t="s">
        <v>360</v>
      </c>
      <c r="B35" s="191" t="s">
        <v>361</v>
      </c>
      <c r="C35" s="168"/>
      <c r="D35" s="168"/>
    </row>
    <row r="36" spans="1:4" x14ac:dyDescent="0.25">
      <c r="A36" s="168" t="s">
        <v>362</v>
      </c>
      <c r="B36" s="191" t="s">
        <v>363</v>
      </c>
      <c r="C36" s="168"/>
      <c r="D36" s="168"/>
    </row>
    <row r="37" spans="1:4" x14ac:dyDescent="0.25">
      <c r="A37" s="168" t="s">
        <v>364</v>
      </c>
      <c r="B37" s="191" t="s">
        <v>365</v>
      </c>
      <c r="C37" s="168"/>
      <c r="D37" s="168"/>
    </row>
    <row r="38" spans="1:4" x14ac:dyDescent="0.25">
      <c r="A38" s="195" t="s">
        <v>366</v>
      </c>
      <c r="B38" s="196"/>
      <c r="C38" s="196"/>
      <c r="D38" s="197"/>
    </row>
    <row r="39" spans="1:4" x14ac:dyDescent="0.25">
      <c r="A39" s="168" t="s">
        <v>367</v>
      </c>
      <c r="B39" s="191" t="s">
        <v>368</v>
      </c>
      <c r="C39" s="168"/>
      <c r="D39" s="168"/>
    </row>
    <row r="40" spans="1:4" x14ac:dyDescent="0.25">
      <c r="A40" s="168" t="s">
        <v>369</v>
      </c>
      <c r="B40" s="191" t="s">
        <v>370</v>
      </c>
      <c r="C40" s="168"/>
      <c r="D40" s="168"/>
    </row>
    <row r="41" spans="1:4" x14ac:dyDescent="0.25">
      <c r="A41" s="168" t="s">
        <v>371</v>
      </c>
      <c r="B41" s="191" t="s">
        <v>198</v>
      </c>
      <c r="C41" s="168"/>
      <c r="D41" s="168"/>
    </row>
    <row r="42" spans="1:4" x14ac:dyDescent="0.25">
      <c r="A42" s="168" t="s">
        <v>372</v>
      </c>
      <c r="B42" s="191" t="s">
        <v>373</v>
      </c>
      <c r="C42" s="168"/>
      <c r="D42" s="168"/>
    </row>
    <row r="43" spans="1:4" x14ac:dyDescent="0.25">
      <c r="A43" s="168" t="s">
        <v>374</v>
      </c>
      <c r="B43" s="191" t="s">
        <v>202</v>
      </c>
      <c r="C43" s="168"/>
      <c r="D43" s="168"/>
    </row>
    <row r="44" spans="1:4" x14ac:dyDescent="0.25">
      <c r="A44" s="168" t="s">
        <v>375</v>
      </c>
      <c r="B44" s="191" t="s">
        <v>204</v>
      </c>
      <c r="C44" s="168"/>
      <c r="D44" s="168"/>
    </row>
    <row r="45" spans="1:4" x14ac:dyDescent="0.25">
      <c r="A45" s="168" t="s">
        <v>376</v>
      </c>
      <c r="B45" s="191" t="s">
        <v>206</v>
      </c>
      <c r="C45" s="168"/>
      <c r="D45" s="168"/>
    </row>
    <row r="46" spans="1:4" x14ac:dyDescent="0.25">
      <c r="A46" s="168" t="s">
        <v>377</v>
      </c>
      <c r="B46" s="191" t="s">
        <v>378</v>
      </c>
      <c r="C46" s="168"/>
      <c r="D46" s="168"/>
    </row>
    <row r="47" spans="1:4" x14ac:dyDescent="0.25">
      <c r="A47" s="168" t="s">
        <v>379</v>
      </c>
      <c r="B47" s="191" t="s">
        <v>380</v>
      </c>
      <c r="C47" s="168"/>
      <c r="D47" s="168"/>
    </row>
    <row r="48" spans="1:4" x14ac:dyDescent="0.25">
      <c r="A48" s="168" t="s">
        <v>381</v>
      </c>
      <c r="B48" s="191" t="s">
        <v>382</v>
      </c>
      <c r="C48" s="168"/>
      <c r="D48" s="168"/>
    </row>
    <row r="49" spans="1:4" x14ac:dyDescent="0.25">
      <c r="A49" s="168" t="s">
        <v>383</v>
      </c>
      <c r="B49" s="191" t="s">
        <v>384</v>
      </c>
      <c r="C49" s="168"/>
      <c r="D49" s="168"/>
    </row>
    <row r="50" spans="1:4" x14ac:dyDescent="0.25">
      <c r="A50" s="198" t="s">
        <v>385</v>
      </c>
      <c r="B50" s="199"/>
      <c r="C50" s="199"/>
      <c r="D50" s="200"/>
    </row>
    <row r="51" spans="1:4" x14ac:dyDescent="0.25">
      <c r="A51" s="168" t="s">
        <v>386</v>
      </c>
      <c r="B51" s="191" t="s">
        <v>387</v>
      </c>
      <c r="C51" s="168"/>
      <c r="D51" s="168"/>
    </row>
    <row r="52" spans="1:4" x14ac:dyDescent="0.25">
      <c r="A52" s="168" t="s">
        <v>388</v>
      </c>
      <c r="B52" s="191" t="s">
        <v>389</v>
      </c>
      <c r="C52" s="168"/>
      <c r="D52" s="168"/>
    </row>
    <row r="53" spans="1:4" x14ac:dyDescent="0.25">
      <c r="A53" s="201" t="s">
        <v>390</v>
      </c>
      <c r="B53" s="202" t="s">
        <v>391</v>
      </c>
      <c r="C53" s="201"/>
      <c r="D53" s="201"/>
    </row>
    <row r="54" spans="2:2" x14ac:dyDescent="0.25">
      <c r="B54" s="187"/>
    </row>
    <row r="55" spans="1:3" x14ac:dyDescent="0.25">
      <c r="A55" s="186" t="s">
        <v>392</v>
      </c>
      <c r="B55" s="186"/>
      <c r="C55" s="186"/>
    </row>
    <row r="56" spans="1:3" x14ac:dyDescent="0.25">
      <c r="A56" s="186" t="s">
        <v>393</v>
      </c>
      <c r="B56" s="186"/>
      <c r="C56" s="186"/>
    </row>
    <row r="57" spans="1:3" x14ac:dyDescent="0.25">
      <c r="A57" s="186" t="s">
        <v>394</v>
      </c>
      <c r="B57" s="186"/>
      <c r="C57" s="186"/>
    </row>
    <row r="58" spans="1:3" x14ac:dyDescent="0.25">
      <c r="A58" s="186" t="s">
        <v>395</v>
      </c>
      <c r="B58" s="186"/>
      <c r="C58" s="186"/>
    </row>
    <row r="59" spans="1:3" x14ac:dyDescent="0.25">
      <c r="A59" s="186" t="s">
        <v>396</v>
      </c>
      <c r="B59" s="186"/>
      <c r="C59" s="186"/>
    </row>
    <row r="60" spans="1:3" x14ac:dyDescent="0.25">
      <c r="A60" s="186"/>
      <c r="B60" s="186"/>
      <c r="C60" s="186"/>
    </row>
    <row r="61" spans="1:3" x14ac:dyDescent="0.25">
      <c r="A61" s="186" t="s">
        <v>397</v>
      </c>
      <c r="B61" s="186"/>
      <c r="C61" s="186"/>
    </row>
    <row r="62" spans="1:3" x14ac:dyDescent="0.25">
      <c r="A62" s="186" t="s">
        <v>398</v>
      </c>
      <c r="B62" s="186"/>
      <c r="C62" s="186"/>
    </row>
    <row r="63" spans="2:2" x14ac:dyDescent="0.25">
      <c r="B63" s="187"/>
    </row>
  </sheetData>
  <mergeCells count="12">
    <mergeCell ref="A5:D5"/>
    <mergeCell ref="A10:D10"/>
    <mergeCell ref="A38:D38"/>
    <mergeCell ref="A50:D50"/>
    <mergeCell ref="A55:C55"/>
    <mergeCell ref="A56:C56"/>
    <mergeCell ref="A57:C57"/>
    <mergeCell ref="A58:C58"/>
    <mergeCell ref="A59:C59"/>
    <mergeCell ref="A60:C60"/>
    <mergeCell ref="A61:C61"/>
    <mergeCell ref="A62:C62"/>
  </mergeCells>
  <pageMargins left="0.7" right="0.7" top="0.75" bottom="0.75" header="0.3" footer="0.3"/>
  <pageSetup paperSize="9" orientation="portrait" horizontalDpi="4294967295" verticalDpi="4294967295" scale="72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48"/>
  <sheetViews>
    <sheetView workbookViewId="0" zoomScale="100" zoomScaleNormal="100">
      <selection activeCell="L25" sqref="L25"/>
    </sheetView>
  </sheetViews>
  <sheetFormatPr defaultRowHeight="13.8" outlineLevelRow="0" outlineLevelCol="0" x14ac:dyDescent="0.25" defaultColWidth="11.44140625" customHeight="1"/>
  <cols>
    <col min="1" max="1" width="45.21875" style="133" customWidth="1"/>
    <col min="2" max="3" width="11.44140625" style="133" customWidth="1"/>
    <col min="4" max="4" width="12.88671875" style="133" customWidth="1"/>
    <col min="5" max="5" width="14.21875" style="133" customWidth="1"/>
    <col min="6" max="6" width="12.5546875" style="133" customWidth="1"/>
    <col min="7" max="16384" width="11.44140625" style="133" customWidth="1"/>
  </cols>
  <sheetData>
    <row r="6" spans="1:6" x14ac:dyDescent="0.25">
      <c r="A6" s="188" t="s">
        <v>399</v>
      </c>
      <c r="B6" s="188" t="s">
        <v>37</v>
      </c>
      <c r="C6" s="203" t="s">
        <v>400</v>
      </c>
      <c r="D6" s="188" t="s">
        <v>401</v>
      </c>
      <c r="E6" s="188"/>
      <c r="F6" s="188"/>
    </row>
    <row r="7" spans="1:6" x14ac:dyDescent="0.25">
      <c r="A7" s="188"/>
      <c r="B7" s="188"/>
      <c r="C7" s="203"/>
      <c r="D7" s="188" t="s">
        <v>402</v>
      </c>
      <c r="E7" s="188" t="s">
        <v>403</v>
      </c>
      <c r="F7" s="188" t="s">
        <v>404</v>
      </c>
    </row>
    <row r="8" spans="1:6" x14ac:dyDescent="0.25">
      <c r="A8" s="188"/>
      <c r="B8" s="188"/>
      <c r="C8" s="203"/>
      <c r="D8" s="188"/>
      <c r="E8" s="188"/>
      <c r="F8" s="188" t="s">
        <v>405</v>
      </c>
    </row>
    <row r="9" spans="1:6" x14ac:dyDescent="0.25">
      <c r="A9" s="204" t="s">
        <v>406</v>
      </c>
      <c r="B9" s="138" t="s">
        <v>111</v>
      </c>
      <c r="C9" s="169"/>
      <c r="D9" s="169"/>
      <c r="E9" s="169"/>
      <c r="F9" s="169"/>
    </row>
    <row r="10" spans="1:6" x14ac:dyDescent="0.25">
      <c r="A10" s="169" t="s">
        <v>407</v>
      </c>
      <c r="B10" s="138"/>
      <c r="C10" s="169">
        <v>0</v>
      </c>
      <c r="D10" s="169"/>
      <c r="E10" s="169"/>
      <c r="F10" s="169"/>
    </row>
    <row r="11" spans="1:6" x14ac:dyDescent="0.25">
      <c r="A11" s="169" t="s">
        <v>408</v>
      </c>
      <c r="B11" s="138"/>
      <c r="C11" s="169">
        <v>0</v>
      </c>
      <c r="D11" s="169"/>
      <c r="E11" s="169"/>
      <c r="F11" s="169"/>
    </row>
    <row r="12" spans="1:6" x14ac:dyDescent="0.25">
      <c r="A12" s="169" t="s">
        <v>409</v>
      </c>
      <c r="B12" s="138"/>
      <c r="C12" s="169">
        <v>32940</v>
      </c>
      <c r="D12" s="169"/>
      <c r="E12" s="169"/>
      <c r="F12" s="169"/>
    </row>
    <row r="13" spans="1:6" x14ac:dyDescent="0.25">
      <c r="A13" s="205" t="s">
        <v>410</v>
      </c>
      <c r="B13" s="206"/>
      <c r="C13" s="180">
        <f>SUM(C9:C12)</f>
        <v>32940</v>
      </c>
      <c r="D13" s="207">
        <f t="shared" ref="D13:F13" si="0">SUM(D9:D12)</f>
        <v>0</v>
      </c>
      <c r="E13" s="207">
        <f t="shared" si="0"/>
        <v>0</v>
      </c>
      <c r="F13" s="207">
        <f t="shared" si="0"/>
        <v>0</v>
      </c>
    </row>
    <row r="14" spans="1:6" x14ac:dyDescent="0.25">
      <c r="A14" s="204" t="s">
        <v>411</v>
      </c>
      <c r="B14" s="138" t="s">
        <v>111</v>
      </c>
      <c r="C14" s="169">
        <v>0</v>
      </c>
      <c r="D14" s="169"/>
      <c r="E14" s="169"/>
      <c r="F14" s="169"/>
    </row>
    <row r="15" spans="1:6" x14ac:dyDescent="0.25">
      <c r="A15" s="169" t="s">
        <v>412</v>
      </c>
      <c r="B15" s="138"/>
      <c r="C15" s="169">
        <v>0</v>
      </c>
      <c r="D15" s="169"/>
      <c r="E15" s="169"/>
      <c r="F15" s="169"/>
    </row>
    <row r="16" spans="1:6" x14ac:dyDescent="0.25">
      <c r="A16" s="169" t="s">
        <v>413</v>
      </c>
      <c r="B16" s="138"/>
      <c r="C16" s="169">
        <v>0</v>
      </c>
      <c r="D16" s="169"/>
      <c r="E16" s="169"/>
      <c r="F16" s="169"/>
    </row>
    <row r="17" spans="1:6" x14ac:dyDescent="0.25">
      <c r="A17" s="169" t="s">
        <v>414</v>
      </c>
      <c r="B17" s="138"/>
      <c r="C17" s="169"/>
      <c r="D17" s="169"/>
      <c r="E17" s="169"/>
      <c r="F17" s="169"/>
    </row>
    <row r="18" spans="1:6" x14ac:dyDescent="0.25">
      <c r="A18" s="169" t="s">
        <v>415</v>
      </c>
      <c r="B18" s="138"/>
      <c r="C18" s="169">
        <v>2875750</v>
      </c>
      <c r="D18" s="169"/>
      <c r="E18" s="169"/>
      <c r="F18" s="169"/>
    </row>
    <row r="19" spans="1:6" x14ac:dyDescent="0.25">
      <c r="A19" s="208" t="s">
        <v>416</v>
      </c>
      <c r="B19" s="206"/>
      <c r="C19" s="180">
        <f>SUM(C14:C18)</f>
      </c>
      <c r="D19" s="180">
        <f t="shared" ref="D19:F19" si="1">SUM(D14:D18)</f>
        <v>0</v>
      </c>
      <c r="E19" s="180">
        <f t="shared" si="1"/>
        <v>0</v>
      </c>
      <c r="F19" s="180">
        <f t="shared" si="1"/>
        <v>0</v>
      </c>
    </row>
    <row r="20" spans="1:6" x14ac:dyDescent="0.25">
      <c r="A20" s="204" t="s">
        <v>417</v>
      </c>
      <c r="B20" s="138"/>
      <c r="C20" s="169">
        <v>662000</v>
      </c>
      <c r="D20" s="169"/>
      <c r="E20" s="169"/>
      <c r="F20" s="169"/>
    </row>
    <row r="21" spans="1:6" x14ac:dyDescent="0.25">
      <c r="A21" s="169" t="s">
        <v>418</v>
      </c>
      <c r="B21" s="138">
        <v>19</v>
      </c>
      <c r="C21" s="169">
        <v>0</v>
      </c>
      <c r="D21" s="169"/>
      <c r="E21" s="169"/>
      <c r="F21" s="169"/>
    </row>
    <row r="22" spans="1:6" x14ac:dyDescent="0.25">
      <c r="A22" s="169" t="s">
        <v>419</v>
      </c>
      <c r="B22" s="138">
        <v>9</v>
      </c>
      <c r="C22" s="169">
        <v>13500</v>
      </c>
      <c r="D22" s="169"/>
      <c r="E22" s="169"/>
      <c r="F22" s="169"/>
    </row>
    <row r="23" spans="1:6" x14ac:dyDescent="0.25">
      <c r="A23" s="169" t="s">
        <v>420</v>
      </c>
      <c r="B23" s="138">
        <v>20</v>
      </c>
      <c r="C23" s="169">
        <v>0</v>
      </c>
      <c r="D23" s="169"/>
      <c r="E23" s="169"/>
      <c r="F23" s="169"/>
    </row>
    <row r="24" spans="1:6" x14ac:dyDescent="0.25">
      <c r="A24" s="169" t="s">
        <v>421</v>
      </c>
      <c r="B24" s="138">
        <v>20</v>
      </c>
      <c r="C24" s="169">
        <v>0</v>
      </c>
      <c r="D24" s="169"/>
      <c r="E24" s="169"/>
      <c r="F24" s="169"/>
    </row>
    <row r="25" spans="1:6" x14ac:dyDescent="0.25">
      <c r="A25" s="169" t="s">
        <v>422</v>
      </c>
      <c r="B25" s="138">
        <v>20</v>
      </c>
      <c r="C25" s="169">
        <v>19440</v>
      </c>
      <c r="D25" s="169"/>
      <c r="E25" s="169"/>
      <c r="F25" s="169"/>
    </row>
    <row r="26" spans="1:6" x14ac:dyDescent="0.25">
      <c r="A26" s="169" t="s">
        <v>423</v>
      </c>
      <c r="B26" s="138">
        <v>21</v>
      </c>
      <c r="C26" s="169"/>
      <c r="D26" s="169"/>
      <c r="E26" s="169"/>
      <c r="F26" s="169"/>
    </row>
    <row r="27" ht="27.6" customHeight="1" spans="1:6" x14ac:dyDescent="0.25">
      <c r="A27" s="174" t="s">
        <v>424</v>
      </c>
      <c r="B27" s="138">
        <v>21</v>
      </c>
      <c r="C27" s="169"/>
      <c r="D27" s="169"/>
      <c r="E27" s="169"/>
      <c r="F27" s="169"/>
    </row>
    <row r="28" spans="1:6" x14ac:dyDescent="0.25">
      <c r="A28" s="169" t="s">
        <v>425</v>
      </c>
      <c r="B28" s="138">
        <v>21</v>
      </c>
      <c r="C28" s="169"/>
      <c r="D28" s="169"/>
      <c r="E28" s="169"/>
      <c r="F28" s="169"/>
    </row>
    <row r="29" spans="1:6" x14ac:dyDescent="0.25">
      <c r="A29" s="205" t="s">
        <v>426</v>
      </c>
      <c r="B29" s="206"/>
      <c r="C29" s="180">
        <f>SUM(C20:C28)</f>
        <v>694940</v>
      </c>
      <c r="D29" s="180">
        <f t="shared" ref="D29:F29" si="2">SUM(D20:D28)</f>
        <v>0</v>
      </c>
      <c r="E29" s="180">
        <f t="shared" si="2"/>
        <v>0</v>
      </c>
      <c r="F29" s="180">
        <f t="shared" si="2"/>
        <v>0</v>
      </c>
    </row>
    <row r="30" spans="1:6" x14ac:dyDescent="0.25">
      <c r="A30" s="209" t="s">
        <v>427</v>
      </c>
      <c r="B30" s="210"/>
      <c r="C30" s="211">
        <f>C13+C19+C29</f>
        <v>727880</v>
      </c>
      <c r="D30" s="211">
        <f t="shared" ref="D30:F30" si="3">D13+D19+D29</f>
        <v>0</v>
      </c>
      <c r="E30" s="211">
        <f t="shared" si="3"/>
        <v>0</v>
      </c>
      <c r="F30" s="211">
        <f t="shared" si="3"/>
        <v>0</v>
      </c>
    </row>
    <row r="31" spans="1:1" x14ac:dyDescent="0.25">
      <c r="A31" s="140"/>
    </row>
    <row r="32" ht="27.6" customHeight="1" spans="1:6" x14ac:dyDescent="0.25">
      <c r="A32" s="137" t="s">
        <v>428</v>
      </c>
      <c r="B32" s="188"/>
      <c r="C32" s="188"/>
      <c r="D32" s="203" t="s">
        <v>429</v>
      </c>
      <c r="E32" s="203" t="s">
        <v>430</v>
      </c>
      <c r="F32" s="203" t="s">
        <v>431</v>
      </c>
    </row>
    <row r="33" spans="1:6" x14ac:dyDescent="0.25">
      <c r="A33" s="212" t="s">
        <v>432</v>
      </c>
      <c r="B33" s="213"/>
      <c r="C33" s="214"/>
      <c r="D33" s="169"/>
      <c r="E33" s="169"/>
      <c r="F33" s="169"/>
    </row>
    <row r="34" spans="1:6" x14ac:dyDescent="0.25">
      <c r="A34" s="212" t="s">
        <v>433</v>
      </c>
      <c r="B34" s="213"/>
      <c r="C34" s="214"/>
      <c r="D34" s="169"/>
      <c r="E34" s="169"/>
      <c r="F34" s="169"/>
    </row>
    <row r="35" spans="1:6" x14ac:dyDescent="0.25">
      <c r="A35" s="212" t="s">
        <v>434</v>
      </c>
      <c r="B35" s="213"/>
      <c r="C35" s="214"/>
      <c r="D35" s="169"/>
      <c r="E35" s="169"/>
      <c r="F35" s="169"/>
    </row>
    <row r="36" spans="1:6" x14ac:dyDescent="0.25">
      <c r="A36" s="215" t="s">
        <v>435</v>
      </c>
      <c r="B36" s="216"/>
      <c r="C36" s="217"/>
      <c r="D36" s="172">
        <f>SUM(D33:D35)</f>
        <v>0</v>
      </c>
      <c r="E36" s="172">
        <f t="shared" ref="E36:F36" si="4">SUM(E33:E35)</f>
        <v>0</v>
      </c>
      <c r="F36" s="172">
        <f t="shared" si="4"/>
        <v>0</v>
      </c>
    </row>
    <row r="38" spans="1:5" x14ac:dyDescent="0.25">
      <c r="A38" s="137" t="s">
        <v>436</v>
      </c>
      <c r="B38" s="188"/>
      <c r="C38" s="188"/>
      <c r="D38" s="188" t="s">
        <v>437</v>
      </c>
      <c r="E38" s="188" t="s">
        <v>438</v>
      </c>
    </row>
    <row r="39" spans="1:5" x14ac:dyDescent="0.25">
      <c r="A39" s="212" t="s">
        <v>439</v>
      </c>
      <c r="B39" s="213"/>
      <c r="C39" s="214"/>
      <c r="D39" s="169"/>
      <c r="E39" s="169"/>
    </row>
    <row r="40" spans="1:5" x14ac:dyDescent="0.25">
      <c r="A40" s="212" t="s">
        <v>440</v>
      </c>
      <c r="B40" s="213"/>
      <c r="C40" s="214"/>
      <c r="D40" s="169"/>
      <c r="E40" s="169"/>
    </row>
    <row r="41" spans="1:5" x14ac:dyDescent="0.25">
      <c r="A41" s="212" t="s">
        <v>441</v>
      </c>
      <c r="B41" s="213"/>
      <c r="C41" s="214"/>
      <c r="D41" s="169"/>
      <c r="E41" s="169"/>
    </row>
    <row r="42" spans="1:5" x14ac:dyDescent="0.25">
      <c r="A42" s="212" t="s">
        <v>442</v>
      </c>
      <c r="B42" s="213"/>
      <c r="C42" s="214"/>
      <c r="D42" s="169"/>
      <c r="E42" s="169"/>
    </row>
    <row r="43" spans="1:5" x14ac:dyDescent="0.25">
      <c r="A43" s="212" t="s">
        <v>443</v>
      </c>
      <c r="B43" s="213"/>
      <c r="C43" s="214"/>
      <c r="D43" s="169"/>
      <c r="E43" s="169"/>
    </row>
    <row r="44" spans="1:5" x14ac:dyDescent="0.25">
      <c r="A44" s="218" t="s">
        <v>435</v>
      </c>
      <c r="B44" s="219"/>
      <c r="C44" s="220"/>
      <c r="D44" s="172">
        <f>SUM(D39:D43)</f>
        <v>0</v>
      </c>
      <c r="E44" s="172">
        <f>SUM(E39:E43)</f>
        <v>0</v>
      </c>
    </row>
    <row r="46" spans="1:4" x14ac:dyDescent="0.25">
      <c r="A46" s="221" t="s">
        <v>444</v>
      </c>
      <c r="B46" s="221"/>
      <c r="C46" s="221"/>
      <c r="D46" s="221"/>
    </row>
    <row r="47" spans="1:4" x14ac:dyDescent="0.25">
      <c r="A47" s="186" t="s">
        <v>445</v>
      </c>
      <c r="B47" s="186"/>
      <c r="C47" s="186"/>
      <c r="D47" s="186"/>
    </row>
    <row r="48" spans="1:4" x14ac:dyDescent="0.25">
      <c r="A48" s="186" t="s">
        <v>446</v>
      </c>
      <c r="B48" s="186"/>
      <c r="C48" s="186"/>
      <c r="D48" s="186"/>
    </row>
  </sheetData>
  <mergeCells count="21">
    <mergeCell ref="D6:F6"/>
    <mergeCell ref="A6:A8"/>
    <mergeCell ref="B6:B8"/>
    <mergeCell ref="C6:C8"/>
    <mergeCell ref="D7:D8"/>
    <mergeCell ref="E7:E8"/>
    <mergeCell ref="A32:C32"/>
    <mergeCell ref="A33:C33"/>
    <mergeCell ref="A34:C34"/>
    <mergeCell ref="A35:C35"/>
    <mergeCell ref="A36:C36"/>
    <mergeCell ref="A38:C38"/>
    <mergeCell ref="A39:C39"/>
    <mergeCell ref="A40:C40"/>
    <mergeCell ref="A41:C41"/>
    <mergeCell ref="A42:C42"/>
    <mergeCell ref="A43:C43"/>
    <mergeCell ref="A44:C44"/>
    <mergeCell ref="A46:D46"/>
    <mergeCell ref="A47:D47"/>
    <mergeCell ref="A48:D48"/>
  </mergeCells>
  <pageMargins left="0.7" right="0.7" top="0.75" bottom="0.75" header="0.3" footer="0.3"/>
  <pageSetup paperSize="9" orientation="portrait" horizontalDpi="4294967295" verticalDpi="4294967295" scale="74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41"/>
  <sheetViews>
    <sheetView workbookViewId="0" zoomScale="100" zoomScaleNormal="100">
      <selection activeCell="A26" sqref="A26"/>
    </sheetView>
  </sheetViews>
  <sheetFormatPr defaultRowHeight="13.8" outlineLevelRow="0" outlineLevelCol="0" x14ac:dyDescent="0.25" defaultColWidth="11.44140625" customHeight="1"/>
  <cols>
    <col min="1" max="1" width="91.88671875" style="133" customWidth="1"/>
    <col min="2" max="16384" width="11.44140625" style="133" customWidth="1"/>
  </cols>
  <sheetData>
    <row r="4" spans="1:1" x14ac:dyDescent="0.25">
      <c r="A4" s="222" t="s">
        <v>447</v>
      </c>
    </row>
    <row r="5" spans="1:1" x14ac:dyDescent="0.25">
      <c r="A5" s="223" t="s">
        <v>448</v>
      </c>
    </row>
    <row r="6" ht="27.6" customHeight="1" spans="1:1" x14ac:dyDescent="0.25">
      <c r="A6" s="224" t="s">
        <v>449</v>
      </c>
    </row>
    <row r="7" ht="27.6" customHeight="1" spans="1:1" x14ac:dyDescent="0.25">
      <c r="A7" s="224" t="s">
        <v>450</v>
      </c>
    </row>
    <row r="8" spans="1:1" x14ac:dyDescent="0.25">
      <c r="A8" s="223"/>
    </row>
    <row r="9" spans="1:1" x14ac:dyDescent="0.25">
      <c r="A9" s="223"/>
    </row>
    <row r="10" spans="1:1" x14ac:dyDescent="0.25">
      <c r="A10" s="223"/>
    </row>
    <row r="11" spans="1:1" x14ac:dyDescent="0.25">
      <c r="A11" s="223"/>
    </row>
    <row r="12" spans="1:1" x14ac:dyDescent="0.25">
      <c r="A12" s="223"/>
    </row>
    <row r="13" spans="1:1" x14ac:dyDescent="0.25">
      <c r="A13" s="223"/>
    </row>
    <row r="14" spans="1:1" x14ac:dyDescent="0.25">
      <c r="A14" s="223"/>
    </row>
    <row r="15" ht="27.6" customHeight="1" spans="1:1" x14ac:dyDescent="0.25">
      <c r="A15" s="225" t="s">
        <v>451</v>
      </c>
    </row>
    <row r="16" ht="27.6" customHeight="1" spans="1:1" x14ac:dyDescent="0.25">
      <c r="A16" s="224" t="s">
        <v>452</v>
      </c>
    </row>
    <row r="17" spans="1:1" x14ac:dyDescent="0.25">
      <c r="A17" s="223"/>
    </row>
    <row r="18" spans="1:1" x14ac:dyDescent="0.25">
      <c r="A18" s="223"/>
    </row>
    <row r="19" spans="1:1" x14ac:dyDescent="0.25">
      <c r="A19" s="223"/>
    </row>
    <row r="20" spans="1:1" x14ac:dyDescent="0.25">
      <c r="A20" s="223"/>
    </row>
    <row r="21" spans="1:1" x14ac:dyDescent="0.25">
      <c r="A21" s="223"/>
    </row>
    <row r="22" spans="1:1" x14ac:dyDescent="0.25">
      <c r="A22" s="223"/>
    </row>
    <row r="23" spans="1:1" x14ac:dyDescent="0.25">
      <c r="A23" s="226" t="s">
        <v>453</v>
      </c>
    </row>
    <row r="24" spans="1:1" x14ac:dyDescent="0.25">
      <c r="A24" s="223" t="s">
        <v>454</v>
      </c>
    </row>
    <row r="25" spans="1:1" x14ac:dyDescent="0.25">
      <c r="A25" s="223"/>
    </row>
    <row r="26" spans="1:1" x14ac:dyDescent="0.25">
      <c r="A26" s="223"/>
    </row>
    <row r="27" spans="1:1" x14ac:dyDescent="0.25">
      <c r="A27" s="223"/>
    </row>
    <row r="28" ht="27.6" customHeight="1" spans="1:1" x14ac:dyDescent="0.25">
      <c r="A28" s="225" t="s">
        <v>455</v>
      </c>
    </row>
    <row r="29" spans="1:1" x14ac:dyDescent="0.25">
      <c r="A29" s="223"/>
    </row>
    <row r="30" spans="1:1" x14ac:dyDescent="0.25">
      <c r="A30" s="223"/>
    </row>
    <row r="31" spans="1:1" x14ac:dyDescent="0.25">
      <c r="A31" s="223"/>
    </row>
    <row r="32" spans="1:1" x14ac:dyDescent="0.25">
      <c r="A32" s="223"/>
    </row>
    <row r="33" spans="1:1" x14ac:dyDescent="0.25">
      <c r="A33" s="227"/>
    </row>
    <row r="36" spans="1:1" x14ac:dyDescent="0.25">
      <c r="A36" s="228" t="s">
        <v>456</v>
      </c>
    </row>
    <row r="37" spans="1:1" x14ac:dyDescent="0.25">
      <c r="A37" s="229" t="s">
        <v>457</v>
      </c>
    </row>
    <row r="38" ht="26.4" customHeight="1" spans="1:1" x14ac:dyDescent="0.25">
      <c r="A38" s="229" t="s">
        <v>458</v>
      </c>
    </row>
    <row r="39" ht="39.6" customHeight="1" spans="1:1" x14ac:dyDescent="0.25">
      <c r="A39" s="229" t="s">
        <v>459</v>
      </c>
    </row>
    <row r="40" ht="36.75" customHeight="1" spans="1:1" x14ac:dyDescent="0.25">
      <c r="A40" s="229" t="s">
        <v>460</v>
      </c>
    </row>
    <row r="41" spans="1:1" x14ac:dyDescent="0.25">
      <c r="A41" s="230"/>
    </row>
  </sheetData>
  <pageMargins left="0.7" right="0.7" top="0.75" bottom="0.75" header="0.3" footer="0.3"/>
  <pageSetup paperSize="9" orientation="portrait" horizontalDpi="4294967295" verticalDpi="4294967295" scale="84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 zoomScale="100" zoomScaleNormal="100">
      <selection activeCell="C20" sqref="C20"/>
    </sheetView>
  </sheetViews>
  <sheetFormatPr defaultRowHeight="13.8" outlineLevelRow="0" outlineLevelCol="0" x14ac:dyDescent="0.25" defaultColWidth="86.5546875" customHeight="1"/>
  <cols>
    <col min="1" max="1" width="89.77734375" style="133" customWidth="1"/>
    <col min="2" max="2" width="12" style="133" customWidth="1"/>
    <col min="3" max="16384" width="86.5546875" style="133" customWidth="1"/>
  </cols>
  <sheetData>
    <row r="1" spans="1:1" x14ac:dyDescent="0.25">
      <c r="A1" s="231"/>
    </row>
    <row r="2" spans="1:1" x14ac:dyDescent="0.25">
      <c r="A2" s="187"/>
    </row>
    <row r="3" spans="1:1" x14ac:dyDescent="0.25">
      <c r="A3" s="187"/>
    </row>
    <row r="4" spans="1:1" x14ac:dyDescent="0.25">
      <c r="A4" s="187"/>
    </row>
    <row r="5" spans="1:1" x14ac:dyDescent="0.25">
      <c r="A5" s="232" t="s">
        <v>461</v>
      </c>
    </row>
    <row r="6" spans="1:1" x14ac:dyDescent="0.25">
      <c r="A6" s="233"/>
    </row>
    <row r="7" spans="1:1" x14ac:dyDescent="0.25">
      <c r="A7" s="233"/>
    </row>
    <row r="8" spans="1:1" x14ac:dyDescent="0.25">
      <c r="A8" s="234" t="s">
        <v>462</v>
      </c>
    </row>
    <row r="9" spans="1:1" x14ac:dyDescent="0.25">
      <c r="A9" s="234"/>
    </row>
    <row r="10" spans="1:1" x14ac:dyDescent="0.25">
      <c r="A10" s="234"/>
    </row>
    <row r="11" spans="1:1" x14ac:dyDescent="0.25">
      <c r="A11" s="235"/>
    </row>
    <row r="12" ht="27.6" customHeight="1" spans="1:1" x14ac:dyDescent="0.25">
      <c r="A12" s="236" t="s">
        <v>463</v>
      </c>
    </row>
    <row r="13" spans="1:1" x14ac:dyDescent="0.25">
      <c r="A13" s="237" t="s">
        <v>464</v>
      </c>
    </row>
    <row r="14" spans="1:1" x14ac:dyDescent="0.25">
      <c r="A14" s="238"/>
    </row>
    <row r="15" spans="1:1" x14ac:dyDescent="0.25">
      <c r="A15" s="238" t="s">
        <v>465</v>
      </c>
    </row>
    <row r="16" spans="1:1" x14ac:dyDescent="0.25">
      <c r="A16" s="238"/>
    </row>
    <row r="17" spans="1:1" x14ac:dyDescent="0.25">
      <c r="A17" s="238" t="s">
        <v>466</v>
      </c>
    </row>
    <row r="18" ht="16.5" customHeight="1" spans="1:1" x14ac:dyDescent="0.25">
      <c r="A18" s="238"/>
    </row>
    <row r="19" ht="15" customHeight="1" hidden="1" spans="1:1" x14ac:dyDescent="0.25">
      <c r="A19" s="239"/>
    </row>
    <row r="20" ht="27.6" customHeight="1" spans="1:1" x14ac:dyDescent="0.25">
      <c r="A20" s="240" t="s">
        <v>467</v>
      </c>
    </row>
    <row r="21" spans="1:1" x14ac:dyDescent="0.25">
      <c r="A21" s="241" t="s">
        <v>468</v>
      </c>
    </row>
    <row r="22" spans="1:1" x14ac:dyDescent="0.25">
      <c r="A22" s="242"/>
    </row>
    <row r="23" ht="27.6" customHeight="1" spans="1:1" x14ac:dyDescent="0.25">
      <c r="A23" s="243" t="s">
        <v>469</v>
      </c>
    </row>
    <row r="24" ht="27.6" customHeight="1" spans="1:1" x14ac:dyDescent="0.25">
      <c r="A24" s="178" t="s">
        <v>470</v>
      </c>
    </row>
    <row r="25" spans="1:1" x14ac:dyDescent="0.25">
      <c r="A25" s="244" t="s">
        <v>471</v>
      </c>
    </row>
    <row r="26" spans="1:1" x14ac:dyDescent="0.25">
      <c r="A26" s="224"/>
    </row>
    <row r="27" ht="27.6" customHeight="1" spans="1:1" x14ac:dyDescent="0.25">
      <c r="A27" s="224" t="s">
        <v>472</v>
      </c>
    </row>
    <row r="28" spans="1:1" x14ac:dyDescent="0.25">
      <c r="A28" s="245" t="s">
        <v>473</v>
      </c>
    </row>
    <row r="29" spans="1:1" x14ac:dyDescent="0.25">
      <c r="A29" s="187"/>
    </row>
    <row r="30" spans="1:1" x14ac:dyDescent="0.25">
      <c r="A30" s="187"/>
    </row>
    <row r="31" spans="1:1" x14ac:dyDescent="0.25">
      <c r="A31" s="187"/>
    </row>
  </sheetData>
  <mergeCells count="4">
    <mergeCell ref="A5:A7"/>
    <mergeCell ref="A13:A14"/>
    <mergeCell ref="A15:A16"/>
    <mergeCell ref="A17:A19"/>
  </mergeCells>
  <pageMargins left="0.7" right="0.7" top="0.75" bottom="0.75" header="0.3" footer="0.3"/>
  <pageSetup paperSize="9" orientation="portrait" horizontalDpi="4294967295" verticalDpi="4294967295" scale="86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28"/>
  <sheetViews>
    <sheetView workbookViewId="0" zoomScale="100" zoomScaleNormal="100">
      <selection activeCell="D1" sqref="D1"/>
    </sheetView>
  </sheetViews>
  <sheetFormatPr defaultRowHeight="13.8" outlineLevelRow="0" outlineLevelCol="0" x14ac:dyDescent="0.25" defaultColWidth="11.44140625" customHeight="1"/>
  <cols>
    <col min="1" max="1" width="87.21875" style="133" customWidth="1"/>
    <col min="2" max="16384" width="11.44140625" style="133" customWidth="1"/>
  </cols>
  <sheetData>
    <row r="5" ht="14.4" customHeight="1" x14ac:dyDescent="0.25"/>
    <row r="6" ht="14.4" customHeight="1" spans="1:1" x14ac:dyDescent="0.25">
      <c r="A6" s="246"/>
    </row>
    <row r="7" ht="14.4" customHeight="1" spans="1:1" x14ac:dyDescent="0.25">
      <c r="A7" s="247" t="s">
        <v>474</v>
      </c>
    </row>
    <row r="8" spans="1:1" x14ac:dyDescent="0.25">
      <c r="A8" s="248"/>
    </row>
    <row r="9" spans="1:1" x14ac:dyDescent="0.25">
      <c r="A9" s="249" t="s">
        <v>475</v>
      </c>
    </row>
    <row r="10" spans="1:1" x14ac:dyDescent="0.25">
      <c r="A10" s="248" t="s">
        <v>476</v>
      </c>
    </row>
    <row r="11" ht="41.4" customHeight="1" spans="1:1" x14ac:dyDescent="0.25">
      <c r="A11" s="250" t="s">
        <v>477</v>
      </c>
    </row>
    <row r="12" ht="41.4" customHeight="1" spans="1:1" x14ac:dyDescent="0.25">
      <c r="A12" s="251" t="s">
        <v>478</v>
      </c>
    </row>
    <row r="13" ht="27.6" customHeight="1" spans="1:1" x14ac:dyDescent="0.25">
      <c r="A13" s="251" t="s">
        <v>479</v>
      </c>
    </row>
    <row r="14" spans="1:1" x14ac:dyDescent="0.25">
      <c r="A14" s="252"/>
    </row>
    <row r="15" spans="1:1" x14ac:dyDescent="0.25">
      <c r="A15" s="253" t="s">
        <v>480</v>
      </c>
    </row>
    <row r="16" spans="1:1" x14ac:dyDescent="0.25">
      <c r="A16" s="248" t="s">
        <v>476</v>
      </c>
    </row>
    <row r="17" spans="1:1" x14ac:dyDescent="0.25">
      <c r="A17" s="254" t="s">
        <v>481</v>
      </c>
    </row>
    <row r="18" ht="27.6" customHeight="1" spans="1:1" x14ac:dyDescent="0.25">
      <c r="A18" s="251" t="s">
        <v>482</v>
      </c>
    </row>
    <row r="19" ht="41.4" customHeight="1" spans="1:1" x14ac:dyDescent="0.25">
      <c r="A19" s="251" t="s">
        <v>483</v>
      </c>
    </row>
    <row r="20" ht="41.4" customHeight="1" spans="1:1" x14ac:dyDescent="0.25">
      <c r="A20" s="251" t="s">
        <v>484</v>
      </c>
    </row>
    <row r="21" ht="14.4" customHeight="1" spans="1:1" x14ac:dyDescent="0.25">
      <c r="A21" s="252" t="s">
        <v>27</v>
      </c>
    </row>
    <row r="22" ht="14.4" customHeight="1" spans="1:1" x14ac:dyDescent="0.25">
      <c r="A22" s="255" t="s">
        <v>485</v>
      </c>
    </row>
    <row r="23" spans="1:1" x14ac:dyDescent="0.25">
      <c r="A23" s="256" t="s">
        <v>486</v>
      </c>
    </row>
    <row r="24" ht="14.4" customHeight="1" spans="1:1" x14ac:dyDescent="0.25">
      <c r="A24" s="256"/>
    </row>
    <row r="25" ht="14.4" customHeight="1" spans="1:1" x14ac:dyDescent="0.25">
      <c r="A25" s="255" t="s">
        <v>487</v>
      </c>
    </row>
    <row r="26" spans="1:1" x14ac:dyDescent="0.25">
      <c r="A26" s="257" t="s">
        <v>488</v>
      </c>
    </row>
    <row r="27" ht="27.6" customHeight="1" spans="1:1" x14ac:dyDescent="0.25">
      <c r="A27" s="251" t="s">
        <v>489</v>
      </c>
    </row>
    <row r="28" ht="28.2" customHeight="1" spans="1:1" x14ac:dyDescent="0.25">
      <c r="A28" s="258" t="s">
        <v>490</v>
      </c>
    </row>
  </sheetData>
  <pageMargins left="0.7" right="0.7" top="0.75" bottom="0.75" header="0.3" footer="0.3"/>
  <pageSetup paperSize="9" orientation="portrait" horizontalDpi="4294967295" verticalDpi="4294967295" scale="88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25"/>
  <sheetViews>
    <sheetView workbookViewId="0" zoomScale="100" zoomScaleNormal="100">
      <selection activeCell="D20" sqref="D20"/>
    </sheetView>
  </sheetViews>
  <sheetFormatPr defaultRowHeight="13.8" outlineLevelRow="0" outlineLevelCol="0" x14ac:dyDescent="0.25" defaultColWidth="11.44140625" customHeight="1"/>
  <cols>
    <col min="1" max="1" width="42" style="133" customWidth="1"/>
    <col min="2" max="2" width="14.88671875" style="133" customWidth="1"/>
    <col min="3" max="3" width="12.21875" style="133" customWidth="1"/>
    <col min="4" max="4" width="12.5546875" style="133" customWidth="1"/>
    <col min="5" max="5" width="12.77734375" style="133" customWidth="1"/>
    <col min="6" max="6" width="10.44140625" style="133" customWidth="1"/>
    <col min="7" max="7" width="11.21875" style="133" customWidth="1"/>
    <col min="8" max="8" width="14" style="150" customWidth="1"/>
    <col min="9" max="16384" width="11.44140625" style="133" customWidth="1"/>
  </cols>
  <sheetData>
    <row r="8" spans="1:8" x14ac:dyDescent="0.25">
      <c r="A8" s="259" t="s">
        <v>491</v>
      </c>
      <c r="B8" s="260" t="s">
        <v>243</v>
      </c>
      <c r="C8" s="192" t="s">
        <v>492</v>
      </c>
      <c r="D8" s="193"/>
      <c r="E8" s="194"/>
      <c r="F8" s="260" t="s">
        <v>493</v>
      </c>
      <c r="G8" s="260"/>
      <c r="H8" s="137" t="s">
        <v>494</v>
      </c>
    </row>
    <row r="9" ht="69" customHeight="1" spans="1:8" x14ac:dyDescent="0.25">
      <c r="A9" s="261" t="s">
        <v>495</v>
      </c>
      <c r="B9" s="135" t="s">
        <v>496</v>
      </c>
      <c r="C9" s="135" t="s">
        <v>497</v>
      </c>
      <c r="D9" s="135" t="s">
        <v>498</v>
      </c>
      <c r="E9" s="135" t="s">
        <v>499</v>
      </c>
      <c r="F9" s="135" t="s">
        <v>500</v>
      </c>
      <c r="G9" s="135" t="s">
        <v>498</v>
      </c>
      <c r="H9" s="262" t="s">
        <v>501</v>
      </c>
    </row>
    <row r="10" spans="1:8" x14ac:dyDescent="0.25">
      <c r="A10" s="263" t="s">
        <v>502</v>
      </c>
      <c r="B10" s="264">
        <f t="shared" ref="B10:G10" si="0">SUM(B11:B13)</f>
        <v>1767600</v>
      </c>
      <c r="C10" s="264">
        <f t="shared" si="0"/>
        <v>0</v>
      </c>
      <c r="D10" s="264">
        <f t="shared" si="0"/>
        <v>0</v>
      </c>
      <c r="E10" s="264">
        <f t="shared" si="0"/>
        <v>0</v>
      </c>
      <c r="F10" s="264">
        <f t="shared" si="0"/>
        <v>0</v>
      </c>
      <c r="G10" s="264">
        <f t="shared" si="0"/>
        <v>0</v>
      </c>
      <c r="H10" s="265">
        <f>B10+C10+D10+E10-F10-G10</f>
        <v>1767600</v>
      </c>
    </row>
    <row r="11" spans="1:8" x14ac:dyDescent="0.25">
      <c r="A11" s="266" t="s">
        <v>503</v>
      </c>
      <c r="B11" s="267">
        <v>0</v>
      </c>
      <c r="C11" s="267">
        <v>0</v>
      </c>
      <c r="D11" s="267">
        <v>0</v>
      </c>
      <c r="E11" s="267">
        <v>0</v>
      </c>
      <c r="F11" s="267">
        <v>0</v>
      </c>
      <c r="G11" s="267">
        <v>0</v>
      </c>
      <c r="H11" s="268">
        <f t="shared" ref="H11:H13" si="1">B11+C11+D11+E11-F11-G11</f>
        <v>0</v>
      </c>
    </row>
    <row r="12" spans="1:8" x14ac:dyDescent="0.25">
      <c r="A12" s="223" t="s">
        <v>504</v>
      </c>
      <c r="B12" s="169">
        <v>1767600</v>
      </c>
      <c r="C12" s="267"/>
      <c r="D12" s="267"/>
      <c r="E12" s="267">
        <v>0</v>
      </c>
      <c r="F12" s="267"/>
      <c r="G12" s="267"/>
      <c r="H12" s="268">
        <f t="shared" si="1"/>
        <v>1767600</v>
      </c>
    </row>
    <row r="13" spans="1:8" x14ac:dyDescent="0.25">
      <c r="A13" s="227" t="s">
        <v>505</v>
      </c>
      <c r="B13" s="169">
        <v>0</v>
      </c>
      <c r="C13" s="267"/>
      <c r="D13" s="267"/>
      <c r="E13" s="267">
        <v>0</v>
      </c>
      <c r="F13" s="267"/>
      <c r="G13" s="267"/>
      <c r="H13" s="268">
        <f t="shared" si="1"/>
        <v>0</v>
      </c>
    </row>
    <row r="14" spans="1:8" x14ac:dyDescent="0.25">
      <c r="A14" s="269" t="s">
        <v>74</v>
      </c>
      <c r="B14" s="270">
        <f>SUM(B15:B17)</f>
        <v>0</v>
      </c>
      <c r="C14" s="270">
        <f>SUM(C15:C17)</f>
        <v>685000</v>
      </c>
      <c r="D14" s="270">
        <f t="shared" ref="D14:G14" si="2">SUM(D15:D17)</f>
        <v>0</v>
      </c>
      <c r="E14" s="270">
        <f t="shared" si="2"/>
        <v>0</v>
      </c>
      <c r="F14" s="270">
        <f t="shared" si="2"/>
        <v>0</v>
      </c>
      <c r="G14" s="270">
        <f t="shared" si="2"/>
        <v>0</v>
      </c>
      <c r="H14" s="271">
        <f>B14+C14+D14+E14-F14-G14</f>
        <v>685000</v>
      </c>
    </row>
    <row r="15" spans="1:8" x14ac:dyDescent="0.25">
      <c r="A15" s="272" t="s">
        <v>78</v>
      </c>
      <c r="B15" s="169">
        <v>0</v>
      </c>
      <c r="C15" s="169"/>
      <c r="D15" s="169"/>
      <c r="E15" s="169">
        <v>0</v>
      </c>
      <c r="F15" s="169"/>
      <c r="G15" s="169"/>
      <c r="H15" s="273">
        <f t="shared" ref="H15:H16" si="3">B15+C15+D15+E15-F15-G15</f>
        <v>0</v>
      </c>
    </row>
    <row r="16" spans="1:8" x14ac:dyDescent="0.25">
      <c r="A16" s="223" t="s">
        <v>506</v>
      </c>
      <c r="B16" s="169">
        <v>0</v>
      </c>
      <c r="C16" s="169"/>
      <c r="D16" s="169"/>
      <c r="E16" s="169">
        <v>0</v>
      </c>
      <c r="F16" s="169"/>
      <c r="G16" s="169"/>
      <c r="H16" s="273">
        <f t="shared" si="3"/>
        <v>0</v>
      </c>
    </row>
    <row r="17" spans="1:8" x14ac:dyDescent="0.25">
      <c r="A17" s="223" t="s">
        <v>507</v>
      </c>
      <c r="B17" s="133">
        <v>0</v>
      </c>
      <c r="C17" s="169">
        <v>685000</v>
      </c>
      <c r="D17" s="169"/>
      <c r="E17" s="169">
        <v>0</v>
      </c>
      <c r="F17" s="169"/>
      <c r="G17" s="169"/>
      <c r="H17" s="273">
        <f>C17+B17+D17+E17-F17-G17</f>
        <v>685000</v>
      </c>
    </row>
    <row r="18" spans="1:8" x14ac:dyDescent="0.25">
      <c r="A18" s="269" t="s">
        <v>508</v>
      </c>
      <c r="B18" s="270">
        <f>SUM(B19:B20)</f>
        <v>0</v>
      </c>
      <c r="C18" s="270">
        <f t="shared" ref="C18:G18" si="4">SUM(C19:C20)</f>
        <v>0</v>
      </c>
      <c r="D18" s="270">
        <f t="shared" si="4"/>
        <v>0</v>
      </c>
      <c r="E18" s="270">
        <f t="shared" si="4"/>
        <v>0</v>
      </c>
      <c r="F18" s="270">
        <f t="shared" si="4"/>
        <v>0</v>
      </c>
      <c r="G18" s="270">
        <f t="shared" si="4"/>
        <v>0</v>
      </c>
      <c r="H18" s="271">
        <f>B18+C18+D18+E18-F18-G18</f>
        <v>0</v>
      </c>
    </row>
    <row r="19" spans="1:8" x14ac:dyDescent="0.25">
      <c r="A19" s="274" t="s">
        <v>509</v>
      </c>
      <c r="B19" s="169">
        <v>0</v>
      </c>
      <c r="C19" s="169"/>
      <c r="D19" s="169"/>
      <c r="E19" s="169">
        <v>0</v>
      </c>
      <c r="F19" s="169"/>
      <c r="G19" s="169"/>
      <c r="H19" s="273">
        <f t="shared" ref="H19:H20" si="5">B19+C19+D19+E19-F19-G19</f>
        <v>0</v>
      </c>
    </row>
    <row r="20" spans="1:8" x14ac:dyDescent="0.25">
      <c r="A20" s="275" t="s">
        <v>113</v>
      </c>
      <c r="B20" s="169">
        <v>0</v>
      </c>
      <c r="C20" s="169"/>
      <c r="D20" s="169"/>
      <c r="E20" s="169">
        <v>0</v>
      </c>
      <c r="F20" s="169"/>
      <c r="G20" s="169"/>
      <c r="H20" s="273">
        <f t="shared" si="5"/>
        <v>0</v>
      </c>
    </row>
    <row r="21" spans="1:8" x14ac:dyDescent="0.25">
      <c r="A21" s="276" t="s">
        <v>164</v>
      </c>
      <c r="B21" s="172">
        <f>B10+B14+B18</f>
        <v>1767600</v>
      </c>
      <c r="C21" s="172">
        <f t="shared" ref="C21:H21" si="6">C10+C14+C18</f>
        <v>685000</v>
      </c>
      <c r="D21" s="172">
        <f t="shared" si="6"/>
        <v>0</v>
      </c>
      <c r="E21" s="172">
        <f t="shared" si="6"/>
        <v>0</v>
      </c>
      <c r="F21" s="172">
        <f t="shared" si="6"/>
        <v>0</v>
      </c>
      <c r="G21" s="172">
        <f t="shared" si="6"/>
        <v>0</v>
      </c>
      <c r="H21" s="144">
        <f t="shared" si="6"/>
        <v>2452600</v>
      </c>
    </row>
    <row r="23" spans="1:1" x14ac:dyDescent="0.25">
      <c r="A23" s="133" t="s">
        <v>510</v>
      </c>
    </row>
    <row r="24" spans="1:1" x14ac:dyDescent="0.25">
      <c r="A24" s="133" t="s">
        <v>511</v>
      </c>
    </row>
    <row r="25" spans="1:1" x14ac:dyDescent="0.25">
      <c r="A25" s="133" t="s">
        <v>27</v>
      </c>
    </row>
  </sheetData>
  <mergeCells count="2">
    <mergeCell ref="C8:E8"/>
    <mergeCell ref="F8:G8"/>
  </mergeCells>
  <pageMargins left="0.7" right="0.7" top="0.75" bottom="0.75" header="0.3" footer="0.3"/>
  <pageSetup paperSize="9" orientation="portrait" horizontalDpi="4294967295" verticalDpi="4294967295" scale="61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31"/>
  <sheetViews>
    <sheetView workbookViewId="0" zoomScale="100" zoomScaleNormal="100">
      <selection activeCell="C16" sqref="C16"/>
    </sheetView>
  </sheetViews>
  <sheetFormatPr defaultRowHeight="13.8" outlineLevelRow="0" outlineLevelCol="0" x14ac:dyDescent="0.25" defaultColWidth="11.44140625" customHeight="1"/>
  <cols>
    <col min="1" max="1" width="50" style="133" customWidth="1"/>
    <col min="2" max="2" width="14.44140625" style="133" customWidth="1"/>
    <col min="3" max="3" width="12.21875" style="133" customWidth="1"/>
    <col min="4" max="4" width="12.109375" style="133" customWidth="1"/>
    <col min="5" max="5" width="13.5546875" style="133" customWidth="1"/>
    <col min="6" max="6" width="10.21875" style="133" customWidth="1"/>
    <col min="7" max="7" width="11.44140625" style="133" customWidth="1"/>
    <col min="8" max="8" width="14.44140625" style="133" customWidth="1"/>
    <col min="9" max="16384" width="11.44140625" style="133" customWidth="1"/>
  </cols>
  <sheetData>
    <row r="6" spans="1:8" x14ac:dyDescent="0.25">
      <c r="A6" s="277"/>
      <c r="B6" s="277"/>
      <c r="C6" s="277"/>
      <c r="D6" s="277"/>
      <c r="E6" s="277"/>
      <c r="F6" s="277"/>
      <c r="G6" s="277"/>
      <c r="H6" s="277"/>
    </row>
    <row r="7" spans="1:8" x14ac:dyDescent="0.25">
      <c r="A7" s="278" t="s">
        <v>512</v>
      </c>
      <c r="B7" s="192" t="s">
        <v>243</v>
      </c>
      <c r="C7" s="279" t="s">
        <v>513</v>
      </c>
      <c r="D7" s="260"/>
      <c r="E7" s="280"/>
      <c r="F7" s="279" t="s">
        <v>514</v>
      </c>
      <c r="G7" s="280"/>
      <c r="H7" s="194" t="s">
        <v>515</v>
      </c>
    </row>
    <row r="8" ht="69" customHeight="1" spans="1:8" x14ac:dyDescent="0.25">
      <c r="A8" s="281" t="s">
        <v>495</v>
      </c>
      <c r="B8" s="282" t="s">
        <v>496</v>
      </c>
      <c r="C8" s="283" t="s">
        <v>516</v>
      </c>
      <c r="D8" s="135" t="s">
        <v>498</v>
      </c>
      <c r="E8" s="284" t="s">
        <v>499</v>
      </c>
      <c r="F8" s="283" t="s">
        <v>517</v>
      </c>
      <c r="G8" s="284" t="s">
        <v>498</v>
      </c>
      <c r="H8" s="285" t="s">
        <v>501</v>
      </c>
    </row>
    <row r="9" spans="1:8" x14ac:dyDescent="0.25">
      <c r="A9" s="181" t="s">
        <v>518</v>
      </c>
      <c r="B9" s="286">
        <f>SUM(B10:B13)</f>
        <v>1767600</v>
      </c>
      <c r="C9" s="287">
        <f t="shared" ref="C9:G9" si="0">SUM(C10:C13)</f>
        <v>0</v>
      </c>
      <c r="D9" s="180">
        <f t="shared" si="0"/>
        <v>0</v>
      </c>
      <c r="E9" s="288">
        <f t="shared" si="0"/>
        <v>0</v>
      </c>
      <c r="F9" s="287">
        <f t="shared" si="0"/>
        <v>0</v>
      </c>
      <c r="G9" s="288">
        <f t="shared" si="0"/>
        <v>0</v>
      </c>
      <c r="H9" s="289">
        <f>B9+C9+D9+E9-F9-G9</f>
        <v>1767600</v>
      </c>
    </row>
    <row r="10" spans="1:8" x14ac:dyDescent="0.25">
      <c r="A10" s="272" t="s">
        <v>519</v>
      </c>
      <c r="B10" s="212">
        <v>1767600</v>
      </c>
      <c r="C10" s="290"/>
      <c r="D10" s="169"/>
      <c r="E10" s="291"/>
      <c r="F10" s="290"/>
      <c r="G10" s="291"/>
      <c r="H10" s="292">
        <f t="shared" ref="H10:H13" si="1">B10+C10+D10+E10-F10-G10</f>
        <v>1767600</v>
      </c>
    </row>
    <row r="11" spans="1:8" x14ac:dyDescent="0.25">
      <c r="A11" s="223" t="s">
        <v>520</v>
      </c>
      <c r="B11" s="212">
        <v>0</v>
      </c>
      <c r="C11" s="290"/>
      <c r="D11" s="169"/>
      <c r="E11" s="291"/>
      <c r="F11" s="290"/>
      <c r="G11" s="291"/>
      <c r="H11" s="292">
        <f t="shared" si="1"/>
        <v>0</v>
      </c>
    </row>
    <row r="12" spans="1:8" x14ac:dyDescent="0.25">
      <c r="A12" s="223" t="s">
        <v>521</v>
      </c>
      <c r="B12" s="212"/>
      <c r="C12" s="290"/>
      <c r="D12" s="169"/>
      <c r="E12" s="291"/>
      <c r="F12" s="290"/>
      <c r="G12" s="291"/>
      <c r="H12" s="292">
        <f t="shared" si="1"/>
        <v>0</v>
      </c>
    </row>
    <row r="13" spans="1:8" x14ac:dyDescent="0.25">
      <c r="A13" s="227" t="s">
        <v>66</v>
      </c>
      <c r="B13" s="212"/>
      <c r="C13" s="290"/>
      <c r="D13" s="169"/>
      <c r="E13" s="291"/>
      <c r="F13" s="290"/>
      <c r="G13" s="291"/>
      <c r="H13" s="292">
        <f t="shared" si="1"/>
        <v>0</v>
      </c>
    </row>
    <row r="14" spans="1:8" x14ac:dyDescent="0.25">
      <c r="A14" s="181" t="s">
        <v>74</v>
      </c>
      <c r="B14" s="286">
        <f>SUM(B15:B22)</f>
        <v>0</v>
      </c>
      <c r="C14" s="287">
        <f t="shared" ref="C14:G14" si="2">SUM(C15:C22)</f>
        <v>685000</v>
      </c>
      <c r="D14" s="180">
        <f t="shared" si="2"/>
        <v>0</v>
      </c>
      <c r="E14" s="288">
        <f t="shared" si="2"/>
        <v>0</v>
      </c>
      <c r="F14" s="287">
        <f t="shared" si="2"/>
        <v>0</v>
      </c>
      <c r="G14" s="288">
        <f t="shared" si="2"/>
        <v>0</v>
      </c>
      <c r="H14" s="289">
        <f>B14+C14+D14+E14-F14-G14</f>
        <v>685000</v>
      </c>
    </row>
    <row r="15" spans="1:8" x14ac:dyDescent="0.25">
      <c r="A15" s="272" t="s">
        <v>522</v>
      </c>
      <c r="B15" s="212"/>
      <c r="C15" s="290"/>
      <c r="D15" s="169"/>
      <c r="E15" s="291"/>
      <c r="F15" s="290"/>
      <c r="G15" s="291"/>
      <c r="H15" s="292">
        <f t="shared" ref="H15:H22" si="3">B15+C15+D15+E15-F15-G15</f>
        <v>0</v>
      </c>
    </row>
    <row r="16" spans="1:8" x14ac:dyDescent="0.25">
      <c r="A16" s="223" t="s">
        <v>523</v>
      </c>
      <c r="B16" s="212"/>
      <c r="C16" s="290"/>
      <c r="D16" s="169"/>
      <c r="E16" s="291"/>
      <c r="F16" s="290"/>
      <c r="G16" s="291"/>
      <c r="H16" s="292">
        <f t="shared" si="3"/>
        <v>0</v>
      </c>
    </row>
    <row r="17" spans="1:8" x14ac:dyDescent="0.25">
      <c r="A17" s="223" t="s">
        <v>524</v>
      </c>
      <c r="B17" s="212"/>
      <c r="C17" s="290"/>
      <c r="D17" s="169"/>
      <c r="E17" s="291"/>
      <c r="F17" s="290"/>
      <c r="G17" s="291"/>
      <c r="H17" s="292">
        <f t="shared" si="3"/>
        <v>0</v>
      </c>
    </row>
    <row r="18" spans="1:8" x14ac:dyDescent="0.25">
      <c r="A18" s="223" t="s">
        <v>525</v>
      </c>
      <c r="B18" s="212"/>
      <c r="C18" s="290"/>
      <c r="D18" s="169"/>
      <c r="E18" s="291"/>
      <c r="F18" s="290"/>
      <c r="G18" s="291"/>
      <c r="H18" s="292">
        <f t="shared" si="3"/>
        <v>0</v>
      </c>
    </row>
    <row r="19" spans="1:8" x14ac:dyDescent="0.25">
      <c r="A19" s="223" t="s">
        <v>526</v>
      </c>
      <c r="B19" s="212"/>
      <c r="C19" s="290"/>
      <c r="D19" s="169"/>
      <c r="E19" s="291"/>
      <c r="F19" s="290"/>
      <c r="G19" s="291"/>
      <c r="H19" s="292">
        <f t="shared" si="3"/>
        <v>0</v>
      </c>
    </row>
    <row r="20" spans="1:8" x14ac:dyDescent="0.25">
      <c r="A20" s="223" t="s">
        <v>527</v>
      </c>
      <c r="B20" s="212"/>
      <c r="C20" s="290">
        <v>685000</v>
      </c>
      <c r="D20" s="169"/>
      <c r="E20" s="291"/>
      <c r="F20" s="290"/>
      <c r="G20" s="291"/>
      <c r="H20" s="292">
        <f t="shared" si="3"/>
        <v>685000</v>
      </c>
    </row>
    <row r="21" spans="1:8" x14ac:dyDescent="0.25">
      <c r="A21" s="223" t="s">
        <v>528</v>
      </c>
      <c r="B21" s="212"/>
      <c r="C21" s="290"/>
      <c r="D21" s="169"/>
      <c r="E21" s="291"/>
      <c r="F21" s="290"/>
      <c r="G21" s="291"/>
      <c r="H21" s="292">
        <f t="shared" si="3"/>
        <v>0</v>
      </c>
    </row>
    <row r="22" spans="1:8" x14ac:dyDescent="0.25">
      <c r="A22" s="227" t="s">
        <v>529</v>
      </c>
      <c r="B22" s="212"/>
      <c r="C22" s="290"/>
      <c r="D22" s="169"/>
      <c r="E22" s="291"/>
      <c r="F22" s="290"/>
      <c r="G22" s="291"/>
      <c r="H22" s="292">
        <f t="shared" si="3"/>
        <v>0</v>
      </c>
    </row>
    <row r="23" spans="1:8" x14ac:dyDescent="0.25">
      <c r="A23" s="181" t="s">
        <v>104</v>
      </c>
      <c r="B23" s="286">
        <f>SUM(B24:B25)</f>
        <v>180000</v>
      </c>
      <c r="C23" s="287">
        <f>SUM(C24:C25)</f>
        <v>0</v>
      </c>
      <c r="D23" s="287">
        <f t="shared" ref="D23:H23" si="4">SUM(D24:D25)</f>
        <v>0</v>
      </c>
      <c r="E23" s="287">
        <f t="shared" si="4"/>
        <v>0</v>
      </c>
      <c r="F23" s="287">
        <f t="shared" si="4"/>
        <v>0</v>
      </c>
      <c r="G23" s="287">
        <f t="shared" si="4"/>
        <v>0</v>
      </c>
      <c r="H23" s="287">
        <f t="shared" si="4"/>
        <v>180000</v>
      </c>
    </row>
    <row r="24" spans="1:8" x14ac:dyDescent="0.25">
      <c r="A24" s="272" t="s">
        <v>530</v>
      </c>
      <c r="B24" s="212"/>
      <c r="C24" s="290"/>
      <c r="D24" s="169"/>
      <c r="E24" s="291"/>
      <c r="F24" s="290"/>
      <c r="G24" s="291"/>
      <c r="H24" s="292">
        <f t="shared" ref="H24:H25" si="5">B24+C24+D24+E24-F24-G24</f>
        <v>0</v>
      </c>
    </row>
    <row r="25" spans="1:8" x14ac:dyDescent="0.25">
      <c r="A25" s="227" t="s">
        <v>113</v>
      </c>
      <c r="B25" s="212">
        <v>180000</v>
      </c>
      <c r="C25" s="290"/>
      <c r="D25" s="169"/>
      <c r="E25" s="291"/>
      <c r="F25" s="290"/>
      <c r="G25" s="291"/>
      <c r="H25" s="292">
        <f t="shared" si="5"/>
        <v>180000</v>
      </c>
    </row>
    <row r="26" spans="1:8" x14ac:dyDescent="0.25">
      <c r="A26" s="293" t="s">
        <v>164</v>
      </c>
      <c r="B26" s="294">
        <f>B9+B14+B23</f>
        <v>1947600</v>
      </c>
      <c r="C26" s="295">
        <f t="shared" ref="C26:H26" si="6">C9+C14+C23</f>
        <v>685000</v>
      </c>
      <c r="D26" s="296">
        <f t="shared" si="6"/>
        <v>0</v>
      </c>
      <c r="E26" s="297">
        <f t="shared" si="6"/>
        <v>0</v>
      </c>
      <c r="F26" s="295">
        <f t="shared" si="6"/>
        <v>0</v>
      </c>
      <c r="G26" s="297">
        <f t="shared" si="6"/>
        <v>0</v>
      </c>
      <c r="H26" s="298">
        <f t="shared" si="6"/>
        <v>2632600</v>
      </c>
    </row>
    <row r="28" ht="14.4" customHeight="1" spans="1:4" x14ac:dyDescent="0.25">
      <c r="A28" s="299" t="s">
        <v>531</v>
      </c>
      <c r="B28" s="300"/>
      <c r="C28" s="300"/>
      <c r="D28" s="300"/>
    </row>
    <row r="29" spans="1:4" x14ac:dyDescent="0.25">
      <c r="A29" s="300" t="s">
        <v>511</v>
      </c>
      <c r="B29" s="300"/>
      <c r="C29" s="300"/>
      <c r="D29" s="300"/>
    </row>
    <row r="30" spans="1:4" x14ac:dyDescent="0.25">
      <c r="A30" s="300" t="s">
        <v>532</v>
      </c>
      <c r="B30" s="300"/>
      <c r="C30" s="300"/>
      <c r="D30" s="300"/>
    </row>
    <row r="31" spans="1:4" x14ac:dyDescent="0.25">
      <c r="A31" s="300" t="s">
        <v>27</v>
      </c>
      <c r="B31" s="300"/>
      <c r="C31" s="300"/>
      <c r="D31" s="300"/>
    </row>
  </sheetData>
  <mergeCells count="2">
    <mergeCell ref="C7:E7"/>
    <mergeCell ref="F7:G7"/>
  </mergeCells>
  <pageMargins left="0.7" right="0.7" top="0.75" bottom="0.75" header="0.3" footer="0.3"/>
  <pageSetup paperSize="9" orientation="portrait" horizontalDpi="4294967295" verticalDpi="4294967295" scale="58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4"/>
  <sheetViews>
    <sheetView workbookViewId="0" zoomScale="100" zoomScaleNormal="100">
      <selection activeCell="E13" sqref="E13"/>
    </sheetView>
  </sheetViews>
  <sheetFormatPr defaultRowHeight="13.8" outlineLevelRow="0" outlineLevelCol="0" x14ac:dyDescent="0.25" defaultColWidth="11.44140625" customHeight="1"/>
  <cols>
    <col min="1" max="1" width="54.109375" style="133" customWidth="1"/>
    <col min="2" max="2" width="12" style="133" customWidth="1"/>
    <col min="3" max="3" width="14.88671875" style="133" customWidth="1"/>
    <col min="4" max="4" width="12.44140625" style="133" customWidth="1"/>
    <col min="5" max="5" width="10.88671875" style="133" customWidth="1"/>
    <col min="6" max="6" width="13.5546875" style="133" customWidth="1"/>
    <col min="7" max="7" width="10.21875" style="133" customWidth="1"/>
    <col min="8" max="8" width="11.44140625" style="133" customWidth="1"/>
    <col min="9" max="9" width="14.21875" style="133" customWidth="1"/>
    <col min="10" max="16384" width="11.44140625" style="133" customWidth="1"/>
  </cols>
  <sheetData>
    <row r="4" spans="1:9" x14ac:dyDescent="0.25">
      <c r="A4" s="301" t="s">
        <v>491</v>
      </c>
      <c r="B4" s="302" t="s">
        <v>533</v>
      </c>
      <c r="C4" s="303" t="s">
        <v>243</v>
      </c>
      <c r="D4" s="304" t="s">
        <v>492</v>
      </c>
      <c r="E4" s="199"/>
      <c r="F4" s="305"/>
      <c r="G4" s="306" t="s">
        <v>493</v>
      </c>
      <c r="H4" s="303"/>
      <c r="I4" s="160" t="s">
        <v>494</v>
      </c>
    </row>
    <row r="5" ht="69" customHeight="1" spans="1:9" x14ac:dyDescent="0.25">
      <c r="A5" s="307" t="s">
        <v>495</v>
      </c>
      <c r="B5" s="308"/>
      <c r="C5" s="309" t="s">
        <v>496</v>
      </c>
      <c r="D5" s="310" t="s">
        <v>497</v>
      </c>
      <c r="E5" s="152" t="s">
        <v>498</v>
      </c>
      <c r="F5" s="309" t="s">
        <v>499</v>
      </c>
      <c r="G5" s="310" t="s">
        <v>500</v>
      </c>
      <c r="H5" s="309" t="s">
        <v>498</v>
      </c>
      <c r="I5" s="311" t="s">
        <v>501</v>
      </c>
    </row>
    <row r="6" spans="1:9" x14ac:dyDescent="0.25">
      <c r="A6" s="272" t="s">
        <v>78</v>
      </c>
      <c r="B6" s="169"/>
      <c r="C6" s="291"/>
      <c r="D6" s="290"/>
      <c r="E6" s="169"/>
      <c r="F6" s="291"/>
      <c r="G6" s="290"/>
      <c r="H6" s="291"/>
      <c r="I6" s="214">
        <f>C6+D6+E6+F6-G6-H6</f>
        <v>0</v>
      </c>
    </row>
    <row r="7" spans="1:9" x14ac:dyDescent="0.25">
      <c r="A7" s="223" t="s">
        <v>506</v>
      </c>
      <c r="B7" s="169"/>
      <c r="C7" s="291"/>
      <c r="D7" s="290"/>
      <c r="E7" s="169"/>
      <c r="F7" s="291"/>
      <c r="G7" s="290"/>
      <c r="H7" s="291"/>
      <c r="I7" s="214">
        <f t="shared" ref="I7:I9" si="0">C7+D7+E7+F7-G7-H7</f>
        <v>0</v>
      </c>
    </row>
    <row r="8" spans="1:9" x14ac:dyDescent="0.25">
      <c r="A8" s="223" t="s">
        <v>507</v>
      </c>
      <c r="B8" s="169"/>
      <c r="C8" s="291"/>
      <c r="D8" s="290">
        <v>0</v>
      </c>
      <c r="E8" s="169"/>
      <c r="F8" s="291"/>
      <c r="G8" s="290"/>
      <c r="H8" s="291"/>
      <c r="I8" s="214">
        <f t="shared" si="0"/>
        <v>0</v>
      </c>
    </row>
    <row r="9" spans="1:9" x14ac:dyDescent="0.25">
      <c r="A9" s="223" t="s">
        <v>534</v>
      </c>
      <c r="B9" s="169"/>
      <c r="C9" s="291"/>
      <c r="D9" s="290">
        <v>0</v>
      </c>
      <c r="E9" s="169"/>
      <c r="F9" s="291"/>
      <c r="G9" s="290"/>
      <c r="H9" s="291"/>
      <c r="I9" s="214">
        <f t="shared" si="0"/>
        <v>0</v>
      </c>
    </row>
    <row r="10" ht="27.6" customHeight="1" spans="1:9" x14ac:dyDescent="0.25">
      <c r="A10" s="312" t="s">
        <v>535</v>
      </c>
      <c r="B10" s="143"/>
      <c r="C10" s="143">
        <f t="shared" ref="C10:I10" si="1">SUM(C6:C9)</f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3">
        <f t="shared" si="1"/>
        <v>0</v>
      </c>
      <c r="I10" s="143">
        <f t="shared" si="1"/>
        <v>0</v>
      </c>
    </row>
    <row r="12" spans="1:4" x14ac:dyDescent="0.25">
      <c r="A12" s="133" t="s">
        <v>536</v>
      </c>
      <c r="B12" s="133"/>
      <c r="C12" s="133"/>
      <c r="D12" s="133"/>
    </row>
    <row r="13" spans="1:4" x14ac:dyDescent="0.25">
      <c r="A13" s="133"/>
      <c r="B13" s="133"/>
      <c r="C13" s="133"/>
      <c r="D13" s="133"/>
    </row>
    <row r="14" ht="14.4" customHeight="1" spans="1:4" x14ac:dyDescent="0.25">
      <c r="A14" s="300" t="s">
        <v>537</v>
      </c>
      <c r="B14" s="300"/>
      <c r="C14" s="300"/>
      <c r="D14" s="300"/>
    </row>
  </sheetData>
  <mergeCells count="6">
    <mergeCell ref="D4:F4"/>
    <mergeCell ref="G4:H4"/>
    <mergeCell ref="B4:B5"/>
    <mergeCell ref="A12:D12"/>
    <mergeCell ref="A13:D13"/>
    <mergeCell ref="A14:D14"/>
  </mergeCells>
  <pageMargins left="0.7" right="0.7" top="0.75" bottom="0.75" header="0.3" footer="0.3"/>
  <pageSetup paperSize="9" orientation="portrait" horizontalDpi="4294967295" verticalDpi="4294967295" scale="52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L19"/>
  <sheetViews>
    <sheetView workbookViewId="0" zoomScale="100" zoomScaleNormal="100">
      <selection activeCell="B1" sqref="B1"/>
    </sheetView>
  </sheetViews>
  <sheetFormatPr defaultRowHeight="13.8" outlineLevelRow="0" outlineLevelCol="0" x14ac:dyDescent="0.25" defaultColWidth="11.44140625" customHeight="1"/>
  <cols>
    <col min="1" max="1" width="40.77734375" style="133" customWidth="1"/>
    <col min="2" max="2" width="17.88671875" style="133" customWidth="1"/>
    <col min="3" max="3" width="15.44140625" style="133" customWidth="1"/>
    <col min="4" max="4" width="17.109375" style="133" customWidth="1"/>
    <col min="5" max="5" width="16" style="133" customWidth="1"/>
    <col min="6" max="6" width="11.44140625" style="133" customWidth="1"/>
    <col min="7" max="7" width="17" style="133" customWidth="1"/>
    <col min="8" max="16384" width="11.44140625" style="133" customWidth="1"/>
  </cols>
  <sheetData>
    <row r="7" spans="1:12" x14ac:dyDescent="0.25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</row>
    <row r="8" spans="1:7" x14ac:dyDescent="0.25">
      <c r="A8" s="313" t="s">
        <v>512</v>
      </c>
      <c r="B8" s="314" t="s">
        <v>243</v>
      </c>
      <c r="C8" s="314" t="s">
        <v>264</v>
      </c>
      <c r="D8" s="314" t="s">
        <v>276</v>
      </c>
      <c r="E8" s="314"/>
      <c r="F8" s="314" t="s">
        <v>286</v>
      </c>
      <c r="G8" s="314" t="s">
        <v>538</v>
      </c>
    </row>
    <row r="9" spans="1:7" x14ac:dyDescent="0.25">
      <c r="A9" s="315"/>
      <c r="B9" s="316" t="s">
        <v>539</v>
      </c>
      <c r="C9" s="316" t="s">
        <v>540</v>
      </c>
      <c r="D9" s="314" t="s">
        <v>541</v>
      </c>
      <c r="E9" s="314"/>
      <c r="F9" s="316" t="s">
        <v>542</v>
      </c>
      <c r="G9" s="316" t="s">
        <v>543</v>
      </c>
    </row>
    <row r="10" ht="69" customHeight="1" spans="1:7" x14ac:dyDescent="0.25">
      <c r="A10" s="317" t="s">
        <v>495</v>
      </c>
      <c r="B10" s="318"/>
      <c r="C10" s="318"/>
      <c r="D10" s="316" t="s">
        <v>544</v>
      </c>
      <c r="E10" s="316" t="s">
        <v>545</v>
      </c>
      <c r="F10" s="319"/>
      <c r="G10" s="319"/>
    </row>
    <row r="11" spans="1:7" x14ac:dyDescent="0.25">
      <c r="A11" s="272" t="s">
        <v>503</v>
      </c>
      <c r="B11" s="214"/>
      <c r="C11" s="169"/>
      <c r="D11" s="169"/>
      <c r="E11" s="169"/>
      <c r="F11" s="169"/>
      <c r="G11" s="169">
        <f>B11+C11-D11-E11-F11</f>
        <v>0</v>
      </c>
    </row>
    <row r="12" spans="1:7" x14ac:dyDescent="0.25">
      <c r="A12" s="223" t="s">
        <v>546</v>
      </c>
      <c r="B12" s="214"/>
      <c r="C12" s="169"/>
      <c r="D12" s="169"/>
      <c r="E12" s="169"/>
      <c r="F12" s="169"/>
      <c r="G12" s="169">
        <f t="shared" ref="G12:G13" si="0">B12+C12-D12-E12-F12</f>
        <v>0</v>
      </c>
    </row>
    <row r="13" spans="1:7" x14ac:dyDescent="0.25">
      <c r="A13" s="227" t="s">
        <v>66</v>
      </c>
      <c r="B13" s="214"/>
      <c r="C13" s="169"/>
      <c r="D13" s="169"/>
      <c r="E13" s="169"/>
      <c r="F13" s="169"/>
      <c r="G13" s="169">
        <f t="shared" si="0"/>
        <v>0</v>
      </c>
    </row>
    <row r="14" ht="27.6" customHeight="1" spans="1:7" x14ac:dyDescent="0.25">
      <c r="A14" s="320" t="s">
        <v>547</v>
      </c>
      <c r="B14" s="321">
        <f>SUM(B11:B13)</f>
        <v>0</v>
      </c>
      <c r="C14" s="321">
        <f t="shared" ref="C14:F14" si="1">SUM(C11:C13)</f>
        <v>0</v>
      </c>
      <c r="D14" s="321">
        <f t="shared" si="1"/>
        <v>0</v>
      </c>
      <c r="E14" s="321">
        <f t="shared" si="1"/>
        <v>0</v>
      </c>
      <c r="F14" s="321">
        <f t="shared" si="1"/>
        <v>0</v>
      </c>
      <c r="G14" s="322">
        <f>B14+C14-D14-E14-F14</f>
      </c>
    </row>
    <row r="15" spans="1:7" x14ac:dyDescent="0.25">
      <c r="A15" s="323" t="s">
        <v>78</v>
      </c>
      <c r="B15" s="169"/>
      <c r="C15" s="169"/>
      <c r="D15" s="169"/>
      <c r="E15" s="169"/>
      <c r="F15" s="169"/>
      <c r="G15" s="169">
        <f>B15+C15-D15-E15-F15</f>
        <v>0</v>
      </c>
    </row>
    <row r="16" spans="1:7" x14ac:dyDescent="0.25">
      <c r="A16" s="223" t="s">
        <v>83</v>
      </c>
      <c r="B16" s="169"/>
      <c r="C16" s="169"/>
      <c r="D16" s="169"/>
      <c r="E16" s="169"/>
      <c r="F16" s="169"/>
      <c r="G16" s="169">
        <f t="shared" ref="G16:G17" si="2">B16+C16-D16-E16-F16</f>
        <v>0</v>
      </c>
    </row>
    <row r="17" spans="1:7" x14ac:dyDescent="0.25">
      <c r="A17" s="227" t="s">
        <v>548</v>
      </c>
      <c r="B17" s="169"/>
      <c r="C17" s="169"/>
      <c r="D17" s="169"/>
      <c r="E17" s="169"/>
      <c r="F17" s="169"/>
      <c r="G17" s="169">
        <f t="shared" si="2"/>
        <v>0</v>
      </c>
    </row>
    <row r="18" ht="27.6" customHeight="1" spans="1:7" x14ac:dyDescent="0.25">
      <c r="A18" s="324" t="s">
        <v>549</v>
      </c>
      <c r="B18" s="180">
        <f>SUM(B15:B17)</f>
        <v>0</v>
      </c>
      <c r="C18" s="180">
        <f t="shared" ref="C18:F18" si="3">SUM(C15:C17)</f>
        <v>0</v>
      </c>
      <c r="D18" s="180">
        <f t="shared" si="3"/>
        <v>0</v>
      </c>
      <c r="E18" s="180">
        <f t="shared" si="3"/>
        <v>0</v>
      </c>
      <c r="F18" s="180">
        <f t="shared" si="3"/>
        <v>0</v>
      </c>
      <c r="G18" s="180">
        <f>B18+C18-D18-E18-F18</f>
        <v>0</v>
      </c>
    </row>
    <row r="19" spans="1:7" x14ac:dyDescent="0.25">
      <c r="A19" s="325" t="s">
        <v>164</v>
      </c>
      <c r="B19" s="172">
        <f>B14+B18</f>
        <v>0</v>
      </c>
      <c r="C19" s="172">
        <f>C14+C18</f>
        <v>0</v>
      </c>
      <c r="D19" s="172">
        <f t="shared" ref="D19:G19" si="4">D14+D18</f>
        <v>0</v>
      </c>
      <c r="E19" s="172">
        <f t="shared" si="4"/>
        <v>0</v>
      </c>
      <c r="F19" s="172">
        <f t="shared" si="4"/>
        <v>0</v>
      </c>
      <c r="G19" s="172">
        <f t="shared" si="4"/>
        <v>0</v>
      </c>
    </row>
  </sheetData>
  <mergeCells count="8">
    <mergeCell ref="A7:L7"/>
    <mergeCell ref="D8:E8"/>
    <mergeCell ref="A8:A9"/>
    <mergeCell ref="D9:E9"/>
    <mergeCell ref="B9:B10"/>
    <mergeCell ref="C9:C10"/>
    <mergeCell ref="F9:F10"/>
    <mergeCell ref="G9:G10"/>
  </mergeCells>
  <pageMargins left="0.7" right="0.7" top="0.75" bottom="0.75" header="0.3" footer="0.3"/>
  <pageSetup paperSize="9" orientation="portrait" horizontalDpi="4294967295" verticalDpi="4294967295" scale="45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24"/>
  <sheetViews>
    <sheetView workbookViewId="0" zoomScale="100" zoomScaleNormal="100">
      <selection activeCell="C26" sqref="C26"/>
    </sheetView>
  </sheetViews>
  <sheetFormatPr defaultRowHeight="13.8" outlineLevelRow="0" outlineLevelCol="0" x14ac:dyDescent="0.25" defaultColWidth="11.44140625" customHeight="1"/>
  <cols>
    <col min="1" max="1" width="41" style="133" customWidth="1"/>
    <col min="2" max="2" width="16.77734375" style="133" customWidth="1"/>
    <col min="3" max="3" width="14.5546875" style="133" customWidth="1"/>
    <col min="4" max="4" width="16.44140625" style="133" customWidth="1"/>
    <col min="5" max="5" width="16.21875" style="133" customWidth="1"/>
    <col min="6" max="6" width="12.44140625" style="133" customWidth="1"/>
    <col min="7" max="7" width="15.44140625" style="133" customWidth="1"/>
    <col min="8" max="16384" width="11.44140625" style="133" customWidth="1"/>
  </cols>
  <sheetData>
    <row r="4" spans="1:7" x14ac:dyDescent="0.25">
      <c r="A4" s="326" t="s">
        <v>550</v>
      </c>
      <c r="B4" s="327" t="s">
        <v>243</v>
      </c>
      <c r="C4" s="327" t="s">
        <v>264</v>
      </c>
      <c r="D4" s="328" t="s">
        <v>276</v>
      </c>
      <c r="E4" s="329"/>
      <c r="F4" s="327" t="s">
        <v>286</v>
      </c>
      <c r="G4" s="316" t="s">
        <v>551</v>
      </c>
    </row>
    <row r="5" spans="1:7" x14ac:dyDescent="0.25">
      <c r="A5" s="330"/>
      <c r="B5" s="331"/>
      <c r="C5" s="331"/>
      <c r="D5" s="332"/>
      <c r="E5" s="333"/>
      <c r="F5" s="331"/>
      <c r="G5" s="319"/>
    </row>
    <row r="6" spans="1:7" x14ac:dyDescent="0.25">
      <c r="A6" s="334" t="s">
        <v>495</v>
      </c>
      <c r="B6" s="316" t="s">
        <v>552</v>
      </c>
      <c r="C6" s="316" t="s">
        <v>553</v>
      </c>
      <c r="D6" s="335" t="s">
        <v>554</v>
      </c>
      <c r="E6" s="336"/>
      <c r="F6" s="316" t="s">
        <v>498</v>
      </c>
      <c r="G6" s="316" t="s">
        <v>555</v>
      </c>
    </row>
    <row r="7" ht="55.2" customHeight="1" spans="1:7" x14ac:dyDescent="0.25">
      <c r="A7" s="317"/>
      <c r="B7" s="319"/>
      <c r="C7" s="319"/>
      <c r="D7" s="337" t="s">
        <v>556</v>
      </c>
      <c r="E7" s="337" t="s">
        <v>557</v>
      </c>
      <c r="F7" s="319"/>
      <c r="G7" s="319"/>
    </row>
    <row r="8" spans="1:7" x14ac:dyDescent="0.25">
      <c r="A8" s="272" t="s">
        <v>504</v>
      </c>
      <c r="B8" s="169"/>
      <c r="C8" s="169">
        <v>523459</v>
      </c>
      <c r="D8" s="169"/>
      <c r="E8" s="169"/>
      <c r="F8" s="169"/>
      <c r="G8" s="169">
        <f>B8+C8-D8-E8-F8</f>
        <v>523459</v>
      </c>
    </row>
    <row r="9" spans="1:7" x14ac:dyDescent="0.25">
      <c r="A9" s="223" t="s">
        <v>520</v>
      </c>
      <c r="B9" s="169"/>
      <c r="C9" s="169"/>
      <c r="D9" s="169"/>
      <c r="E9" s="169"/>
      <c r="F9" s="169"/>
      <c r="G9" s="169">
        <f t="shared" ref="G9:G10" si="0">B9+C9-D9-E9-F9</f>
        <v>0</v>
      </c>
    </row>
    <row r="10" spans="1:7" x14ac:dyDescent="0.25">
      <c r="A10" s="227" t="s">
        <v>505</v>
      </c>
      <c r="B10" s="169"/>
      <c r="C10" s="169"/>
      <c r="D10" s="169"/>
      <c r="E10" s="169"/>
      <c r="F10" s="169"/>
      <c r="G10" s="169">
        <f t="shared" si="0"/>
        <v>0</v>
      </c>
    </row>
    <row r="11" ht="27.6" customHeight="1" spans="1:7" x14ac:dyDescent="0.25">
      <c r="A11" s="324" t="s">
        <v>558</v>
      </c>
      <c r="B11" s="180">
        <f>SUM(B8:B10)</f>
        <v>0</v>
      </c>
      <c r="C11" s="180">
        <f t="shared" ref="C11:G11" si="1">SUM(C8:C10)</f>
        <v>523459</v>
      </c>
      <c r="D11" s="180">
        <f t="shared" si="1"/>
        <v>0</v>
      </c>
      <c r="E11" s="180">
        <f t="shared" si="1"/>
        <v>0</v>
      </c>
      <c r="F11" s="180">
        <f t="shared" si="1"/>
        <v>0</v>
      </c>
      <c r="G11" s="180">
        <f t="shared" si="1"/>
        <v>523459</v>
      </c>
    </row>
    <row r="12" spans="1:7" x14ac:dyDescent="0.25">
      <c r="A12" s="272" t="s">
        <v>522</v>
      </c>
      <c r="B12" s="169"/>
      <c r="C12" s="169"/>
      <c r="D12" s="169"/>
      <c r="E12" s="169"/>
      <c r="F12" s="169"/>
      <c r="G12" s="169">
        <f>B12+C12-D12-E12-F12</f>
        <v>0</v>
      </c>
    </row>
    <row r="13" spans="1:7" x14ac:dyDescent="0.25">
      <c r="A13" s="223" t="s">
        <v>559</v>
      </c>
      <c r="B13" s="169"/>
      <c r="C13" s="169"/>
      <c r="D13" s="169"/>
      <c r="E13" s="169"/>
      <c r="F13" s="169"/>
      <c r="G13" s="169">
        <f t="shared" ref="G13:G18" si="2">B13+C13-D13-E13-F13</f>
        <v>0</v>
      </c>
    </row>
    <row r="14" spans="1:7" x14ac:dyDescent="0.25">
      <c r="A14" s="223" t="s">
        <v>560</v>
      </c>
      <c r="B14" s="169"/>
      <c r="C14" s="169"/>
      <c r="D14" s="169"/>
      <c r="E14" s="169"/>
      <c r="F14" s="169"/>
      <c r="G14" s="169">
        <f t="shared" si="2"/>
        <v>0</v>
      </c>
    </row>
    <row r="15" spans="1:7" x14ac:dyDescent="0.25">
      <c r="A15" s="338" t="s">
        <v>561</v>
      </c>
      <c r="B15" s="169"/>
      <c r="C15" s="169"/>
      <c r="D15" s="169"/>
      <c r="E15" s="169"/>
      <c r="F15" s="169"/>
      <c r="G15" s="169">
        <f t="shared" si="2"/>
        <v>0</v>
      </c>
    </row>
    <row r="16" spans="1:7" x14ac:dyDescent="0.25">
      <c r="A16" s="223" t="s">
        <v>562</v>
      </c>
      <c r="B16" s="169"/>
      <c r="C16" s="169"/>
      <c r="D16" s="169"/>
      <c r="E16" s="169"/>
      <c r="F16" s="169"/>
      <c r="G16" s="169">
        <f t="shared" si="2"/>
        <v>0</v>
      </c>
    </row>
    <row r="17" spans="1:7" x14ac:dyDescent="0.25">
      <c r="A17" s="223" t="s">
        <v>563</v>
      </c>
      <c r="B17" s="169"/>
      <c r="C17" s="169">
        <v>122362</v>
      </c>
      <c r="D17" s="169"/>
      <c r="E17" s="169"/>
      <c r="F17" s="169"/>
      <c r="G17" s="169">
        <f t="shared" si="2"/>
        <v>122362</v>
      </c>
    </row>
    <row r="18" spans="1:7" x14ac:dyDescent="0.25">
      <c r="A18" s="227" t="s">
        <v>528</v>
      </c>
      <c r="B18" s="169"/>
      <c r="C18" s="169"/>
      <c r="D18" s="169"/>
      <c r="E18" s="169"/>
      <c r="F18" s="169"/>
      <c r="G18" s="169">
        <f t="shared" si="2"/>
        <v>0</v>
      </c>
    </row>
    <row r="19" ht="27.6" customHeight="1" spans="1:7" x14ac:dyDescent="0.25">
      <c r="A19" s="324" t="s">
        <v>564</v>
      </c>
      <c r="B19" s="180">
        <f>SUM(B12:B18)</f>
        <v>0</v>
      </c>
      <c r="C19" s="180">
        <f t="shared" ref="C19:G19" si="3">SUM(C12:C18)</f>
        <v>122362</v>
      </c>
      <c r="D19" s="180">
        <f t="shared" si="3"/>
        <v>0</v>
      </c>
      <c r="E19" s="180">
        <f t="shared" si="3"/>
        <v>0</v>
      </c>
      <c r="F19" s="180">
        <f t="shared" si="3"/>
        <v>0</v>
      </c>
      <c r="G19" s="180">
        <f t="shared" si="3"/>
        <v>122362</v>
      </c>
    </row>
    <row r="20" spans="1:7" x14ac:dyDescent="0.25">
      <c r="A20" s="209" t="s">
        <v>164</v>
      </c>
      <c r="B20" s="172">
        <f>B11+B19</f>
        <v>0</v>
      </c>
      <c r="C20" s="172">
        <f t="shared" ref="C20:G20" si="4">C11+C19</f>
        <v>645821</v>
      </c>
      <c r="D20" s="172">
        <f t="shared" si="4"/>
        <v>0</v>
      </c>
      <c r="E20" s="172">
        <f t="shared" si="4"/>
        <v>0</v>
      </c>
      <c r="F20" s="172">
        <f t="shared" si="4"/>
        <v>0</v>
      </c>
      <c r="G20" s="172">
        <f t="shared" si="4"/>
        <v>645821</v>
      </c>
    </row>
    <row r="21" ht="14.4" customHeight="1" spans="1:1" x14ac:dyDescent="0.25">
      <c r="A21" s="339" t="s">
        <v>565</v>
      </c>
    </row>
    <row r="23" spans="1:1" x14ac:dyDescent="0.25">
      <c r="A23" s="300" t="s">
        <v>566</v>
      </c>
    </row>
    <row r="24" spans="1:1" x14ac:dyDescent="0.25">
      <c r="A24" s="300" t="s">
        <v>27</v>
      </c>
    </row>
  </sheetData>
  <mergeCells count="12">
    <mergeCell ref="D4:E5"/>
    <mergeCell ref="A4:A5"/>
    <mergeCell ref="B4:B5"/>
    <mergeCell ref="C4:C5"/>
    <mergeCell ref="F4:F5"/>
    <mergeCell ref="G4:G5"/>
    <mergeCell ref="D6:E6"/>
    <mergeCell ref="A6:A7"/>
    <mergeCell ref="B6:B7"/>
    <mergeCell ref="C6:C7"/>
    <mergeCell ref="F6:F7"/>
    <mergeCell ref="G6:G7"/>
  </mergeCells>
  <pageMargins left="0.7" right="0.7" top="0.75" bottom="0.75" header="0.3" footer="0.3"/>
  <pageSetup paperSize="9" orientation="portrait" horizontalDpi="4294967295" verticalDpi="4294967295" scale="6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6"/>
  <sheetViews>
    <sheetView workbookViewId="0" zoomScale="100" zoomScaleNormal="100">
      <selection activeCell="E1" sqref="E1"/>
    </sheetView>
  </sheetViews>
  <sheetFormatPr defaultRowHeight="13.8" outlineLevelRow="0" outlineLevelCol="0" x14ac:dyDescent="0.25" defaultColWidth="11.44140625" customHeight="1"/>
  <cols>
    <col min="1" max="1" width="59.77734375" style="133" customWidth="1"/>
    <col min="2" max="2" width="19.88671875" style="133" customWidth="1"/>
    <col min="3" max="3" width="21" style="133" customWidth="1"/>
    <col min="4" max="4" width="16" style="133" customWidth="1"/>
    <col min="5" max="5" width="19.77734375" style="133" customWidth="1"/>
    <col min="6" max="16384" width="11.44140625" style="133" customWidth="1"/>
  </cols>
  <sheetData>
    <row r="4" spans="1:5" x14ac:dyDescent="0.25">
      <c r="A4" s="340" t="s">
        <v>550</v>
      </c>
      <c r="B4" s="341" t="s">
        <v>243</v>
      </c>
      <c r="C4" s="341" t="s">
        <v>264</v>
      </c>
      <c r="D4" s="341" t="s">
        <v>276</v>
      </c>
      <c r="E4" s="341" t="s">
        <v>567</v>
      </c>
    </row>
    <row r="5" ht="55.2" customHeight="1" spans="1:5" x14ac:dyDescent="0.25">
      <c r="A5" s="342" t="s">
        <v>495</v>
      </c>
      <c r="B5" s="337" t="s">
        <v>568</v>
      </c>
      <c r="C5" s="337" t="s">
        <v>569</v>
      </c>
      <c r="D5" s="337" t="s">
        <v>570</v>
      </c>
      <c r="E5" s="319" t="s">
        <v>571</v>
      </c>
    </row>
    <row r="6" spans="1:5" x14ac:dyDescent="0.25">
      <c r="A6" s="272" t="s">
        <v>504</v>
      </c>
      <c r="B6" s="173"/>
      <c r="C6" s="173"/>
      <c r="D6" s="173"/>
      <c r="E6" s="343">
        <f>B6+C6-D6</f>
        <v>0</v>
      </c>
    </row>
    <row r="7" spans="1:5" x14ac:dyDescent="0.25">
      <c r="A7" s="223" t="s">
        <v>520</v>
      </c>
      <c r="B7" s="173"/>
      <c r="C7" s="173"/>
      <c r="D7" s="173"/>
      <c r="E7" s="343">
        <f t="shared" ref="E7:E9" si="0">B7+C7-D7</f>
        <v>0</v>
      </c>
    </row>
    <row r="8" spans="1:5" x14ac:dyDescent="0.25">
      <c r="A8" s="223" t="s">
        <v>572</v>
      </c>
      <c r="B8" s="173"/>
      <c r="C8" s="173"/>
      <c r="D8" s="173"/>
      <c r="E8" s="343">
        <f t="shared" si="0"/>
        <v>0</v>
      </c>
    </row>
    <row r="9" spans="1:5" x14ac:dyDescent="0.25">
      <c r="A9" s="227" t="s">
        <v>505</v>
      </c>
      <c r="B9" s="173"/>
      <c r="C9" s="173"/>
      <c r="D9" s="173"/>
      <c r="E9" s="343">
        <f t="shared" si="0"/>
        <v>0</v>
      </c>
    </row>
    <row r="10" spans="1:5" x14ac:dyDescent="0.25">
      <c r="A10" s="344" t="s">
        <v>558</v>
      </c>
      <c r="B10" s="270">
        <f>SUM(B6:B9)</f>
        <v>0</v>
      </c>
      <c r="C10" s="270">
        <f t="shared" ref="C10:E10" si="1">SUM(C6:C9)</f>
        <v>0</v>
      </c>
      <c r="D10" s="270">
        <f t="shared" si="1"/>
        <v>0</v>
      </c>
      <c r="E10" s="345">
        <f t="shared" si="1"/>
        <v>0</v>
      </c>
    </row>
    <row r="11" spans="1:5" x14ac:dyDescent="0.25">
      <c r="A11" s="272" t="s">
        <v>573</v>
      </c>
      <c r="B11" s="173"/>
      <c r="C11" s="173"/>
      <c r="D11" s="173"/>
      <c r="E11" s="343">
        <f>B11+C11-D11</f>
        <v>0</v>
      </c>
    </row>
    <row r="12" spans="1:5" x14ac:dyDescent="0.25">
      <c r="A12" s="223" t="s">
        <v>559</v>
      </c>
      <c r="B12" s="173"/>
      <c r="C12" s="173"/>
      <c r="D12" s="173"/>
      <c r="E12" s="343">
        <f t="shared" ref="E12:E18" si="2">B12+C12-D12</f>
        <v>0</v>
      </c>
    </row>
    <row r="13" spans="1:5" x14ac:dyDescent="0.25">
      <c r="A13" s="223" t="s">
        <v>560</v>
      </c>
      <c r="B13" s="173"/>
      <c r="C13" s="173"/>
      <c r="D13" s="173"/>
      <c r="E13" s="343">
        <f t="shared" si="2"/>
        <v>0</v>
      </c>
    </row>
    <row r="14" spans="1:5" x14ac:dyDescent="0.25">
      <c r="A14" s="338" t="s">
        <v>561</v>
      </c>
      <c r="B14" s="173"/>
      <c r="C14" s="173"/>
      <c r="D14" s="173"/>
      <c r="E14" s="343">
        <f t="shared" si="2"/>
        <v>0</v>
      </c>
    </row>
    <row r="15" spans="1:5" x14ac:dyDescent="0.25">
      <c r="A15" s="223" t="s">
        <v>562</v>
      </c>
      <c r="B15" s="173"/>
      <c r="C15" s="173"/>
      <c r="D15" s="173"/>
      <c r="E15" s="343">
        <f t="shared" si="2"/>
        <v>0</v>
      </c>
    </row>
    <row r="16" spans="1:5" x14ac:dyDescent="0.25">
      <c r="A16" s="223" t="s">
        <v>563</v>
      </c>
      <c r="B16" s="173"/>
      <c r="C16" s="173"/>
      <c r="D16" s="173"/>
      <c r="E16" s="343">
        <f t="shared" si="2"/>
        <v>0</v>
      </c>
    </row>
    <row r="17" spans="1:5" x14ac:dyDescent="0.25">
      <c r="A17" s="223" t="s">
        <v>528</v>
      </c>
      <c r="B17" s="173"/>
      <c r="C17" s="173"/>
      <c r="D17" s="173"/>
      <c r="E17" s="343">
        <f t="shared" si="2"/>
        <v>0</v>
      </c>
    </row>
    <row r="18" spans="1:5" x14ac:dyDescent="0.25">
      <c r="A18" s="227" t="s">
        <v>574</v>
      </c>
      <c r="B18" s="173"/>
      <c r="C18" s="173"/>
      <c r="D18" s="173"/>
      <c r="E18" s="343">
        <f t="shared" si="2"/>
        <v>0</v>
      </c>
    </row>
    <row r="19" spans="1:5" x14ac:dyDescent="0.25">
      <c r="A19" s="344" t="s">
        <v>564</v>
      </c>
      <c r="B19" s="270">
        <f>SUM(B11:B18)</f>
        <v>0</v>
      </c>
      <c r="C19" s="270">
        <f t="shared" ref="C19:E19" si="3">SUM(C11:C18)</f>
        <v>0</v>
      </c>
      <c r="D19" s="270">
        <f t="shared" si="3"/>
        <v>0</v>
      </c>
      <c r="E19" s="345">
        <f t="shared" si="3"/>
        <v>0</v>
      </c>
    </row>
    <row r="20" spans="1:5" x14ac:dyDescent="0.25">
      <c r="A20" s="237" t="s">
        <v>530</v>
      </c>
      <c r="B20" s="173"/>
      <c r="C20" s="173"/>
      <c r="D20" s="173"/>
      <c r="E20" s="343">
        <f>B20+C20-D20</f>
        <v>0</v>
      </c>
    </row>
    <row r="21" spans="1:5" x14ac:dyDescent="0.25">
      <c r="A21" s="239" t="s">
        <v>113</v>
      </c>
      <c r="B21" s="173"/>
      <c r="C21" s="173"/>
      <c r="D21" s="173"/>
      <c r="E21" s="343">
        <f>B21+C21-D21</f>
        <v>0</v>
      </c>
    </row>
    <row r="22" spans="1:5" x14ac:dyDescent="0.25">
      <c r="A22" s="344" t="s">
        <v>575</v>
      </c>
      <c r="B22" s="270">
        <f>SUM(B20:B21)</f>
        <v>0</v>
      </c>
      <c r="C22" s="270">
        <f t="shared" ref="C22:E22" si="4">SUM(C20:C21)</f>
        <v>0</v>
      </c>
      <c r="D22" s="270">
        <f t="shared" si="4"/>
        <v>0</v>
      </c>
      <c r="E22" s="345">
        <f t="shared" si="4"/>
        <v>0</v>
      </c>
    </row>
    <row r="23" ht="9" customHeight="1" spans="1:5" x14ac:dyDescent="0.25">
      <c r="A23" s="346"/>
      <c r="B23" s="169"/>
      <c r="C23" s="169"/>
      <c r="D23" s="169"/>
      <c r="E23" s="343"/>
    </row>
    <row r="24" spans="1:5" x14ac:dyDescent="0.25">
      <c r="A24" s="347" t="s">
        <v>576</v>
      </c>
      <c r="B24" s="348">
        <f>B10+B19+B22</f>
        <v>0</v>
      </c>
      <c r="C24" s="348">
        <f t="shared" ref="C24:E24" si="5">C10+C19+C22</f>
        <v>0</v>
      </c>
      <c r="D24" s="348">
        <f t="shared" si="5"/>
        <v>0</v>
      </c>
      <c r="E24" s="349">
        <f t="shared" si="5"/>
        <v>0</v>
      </c>
    </row>
    <row r="25" spans="1:1" x14ac:dyDescent="0.25">
      <c r="A25" s="350" t="s">
        <v>577</v>
      </c>
    </row>
    <row r="26" spans="1:1" x14ac:dyDescent="0.25">
      <c r="A26" s="300" t="s">
        <v>578</v>
      </c>
    </row>
  </sheetData>
  <pageMargins left="0.7" right="0.7" top="0.75" bottom="0.75" header="0.3" footer="0.3"/>
  <pageSetup paperSize="9" orientation="portrait" horizontalDpi="4294967295" verticalDpi="4294967295" scale="59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25"/>
  <sheetViews>
    <sheetView workbookViewId="0" zoomScale="100" zoomScaleNormal="100">
      <selection activeCell="H1" sqref="H1"/>
    </sheetView>
  </sheetViews>
  <sheetFormatPr defaultRowHeight="13.8" outlineLevelRow="0" outlineLevelCol="0" x14ac:dyDescent="0.25" defaultColWidth="11.44140625" customHeight="1"/>
  <cols>
    <col min="1" max="1" width="51.5546875" style="133" customWidth="1"/>
    <col min="2" max="2" width="11.88671875" style="133" customWidth="1"/>
    <col min="3" max="3" width="17" style="133" customWidth="1"/>
    <col min="4" max="4" width="11.77734375" style="133" customWidth="1"/>
    <col min="5" max="5" width="10.109375" style="133" customWidth="1"/>
    <col min="6" max="6" width="13.77734375" style="133" customWidth="1"/>
    <col min="7" max="16384" width="11.44140625" style="133" customWidth="1"/>
  </cols>
  <sheetData>
    <row r="6" spans="1:6" x14ac:dyDescent="0.25">
      <c r="A6" s="351" t="s">
        <v>550</v>
      </c>
      <c r="B6" s="316" t="s">
        <v>579</v>
      </c>
      <c r="C6" s="316" t="s">
        <v>580</v>
      </c>
      <c r="D6" s="316" t="s">
        <v>581</v>
      </c>
      <c r="E6" s="316" t="s">
        <v>582</v>
      </c>
      <c r="F6" s="316" t="s">
        <v>583</v>
      </c>
    </row>
    <row r="7" spans="1:6" x14ac:dyDescent="0.25">
      <c r="A7" s="352"/>
      <c r="B7" s="318"/>
      <c r="C7" s="318"/>
      <c r="D7" s="318"/>
      <c r="E7" s="318"/>
      <c r="F7" s="318"/>
    </row>
    <row r="8" spans="1:6" x14ac:dyDescent="0.25">
      <c r="A8" s="352"/>
      <c r="B8" s="318"/>
      <c r="C8" s="318"/>
      <c r="D8" s="318"/>
      <c r="E8" s="318"/>
      <c r="F8" s="318"/>
    </row>
    <row r="9" spans="1:6" x14ac:dyDescent="0.25">
      <c r="A9" s="353" t="s">
        <v>495</v>
      </c>
      <c r="B9" s="319"/>
      <c r="C9" s="319"/>
      <c r="D9" s="319"/>
      <c r="E9" s="319"/>
      <c r="F9" s="319"/>
    </row>
    <row r="10" spans="1:6" x14ac:dyDescent="0.25">
      <c r="A10" s="272" t="s">
        <v>504</v>
      </c>
      <c r="B10" s="169"/>
      <c r="C10" s="169"/>
      <c r="D10" s="169">
        <f>B10-C10</f>
        <v>0</v>
      </c>
      <c r="E10" s="169"/>
      <c r="F10" s="169">
        <f>E10-D10</f>
        <v>0</v>
      </c>
    </row>
    <row r="11" spans="1:6" x14ac:dyDescent="0.25">
      <c r="A11" s="223" t="s">
        <v>520</v>
      </c>
      <c r="B11" s="169"/>
      <c r="C11" s="169"/>
      <c r="D11" s="169">
        <f>B11-C11</f>
        <v>0</v>
      </c>
      <c r="E11" s="169"/>
      <c r="F11" s="169">
        <f t="shared" ref="F11:F12" si="0">E11-D11</f>
        <v>0</v>
      </c>
    </row>
    <row r="12" spans="1:6" x14ac:dyDescent="0.25">
      <c r="A12" s="227" t="s">
        <v>505</v>
      </c>
      <c r="B12" s="169"/>
      <c r="C12" s="169"/>
      <c r="D12" s="169">
        <f>B12-C12</f>
        <v>0</v>
      </c>
      <c r="E12" s="169"/>
      <c r="F12" s="169">
        <f t="shared" si="0"/>
        <v>0</v>
      </c>
    </row>
    <row r="13" ht="27.6" customHeight="1" spans="1:6" x14ac:dyDescent="0.25">
      <c r="A13" s="354" t="s">
        <v>558</v>
      </c>
      <c r="B13" s="180">
        <f>SUM(B10:B12)</f>
        <v>0</v>
      </c>
      <c r="C13" s="180">
        <f t="shared" ref="C13:F13" si="1">SUM(C10:C12)</f>
        <v>0</v>
      </c>
      <c r="D13" s="180">
        <f t="shared" si="1"/>
        <v>0</v>
      </c>
      <c r="E13" s="180">
        <f t="shared" si="1"/>
        <v>0</v>
      </c>
      <c r="F13" s="180">
        <f t="shared" si="1"/>
        <v>0</v>
      </c>
    </row>
    <row r="14" spans="1:6" x14ac:dyDescent="0.25">
      <c r="A14" s="272" t="s">
        <v>584</v>
      </c>
      <c r="B14" s="169"/>
      <c r="C14" s="169"/>
      <c r="D14" s="169">
        <f>B14-C14</f>
        <v>0</v>
      </c>
      <c r="E14" s="169"/>
      <c r="F14" s="169">
        <f>E14-D14</f>
        <v>0</v>
      </c>
    </row>
    <row r="15" spans="1:6" x14ac:dyDescent="0.25">
      <c r="A15" s="223" t="s">
        <v>585</v>
      </c>
      <c r="B15" s="169"/>
      <c r="C15" s="169"/>
      <c r="D15" s="169">
        <f t="shared" ref="D15:D18" si="2">B15-C15</f>
        <v>0</v>
      </c>
      <c r="E15" s="169"/>
      <c r="F15" s="169">
        <f t="shared" ref="F15:F18" si="3">E15-D15</f>
        <v>0</v>
      </c>
    </row>
    <row r="16" spans="1:6" x14ac:dyDescent="0.25">
      <c r="A16" s="223" t="s">
        <v>562</v>
      </c>
      <c r="B16" s="169"/>
      <c r="C16" s="169"/>
      <c r="D16" s="169">
        <f t="shared" si="2"/>
        <v>0</v>
      </c>
      <c r="E16" s="169"/>
      <c r="F16" s="169">
        <f t="shared" si="3"/>
        <v>0</v>
      </c>
    </row>
    <row r="17" spans="1:6" x14ac:dyDescent="0.25">
      <c r="A17" s="223" t="s">
        <v>563</v>
      </c>
      <c r="B17" s="169"/>
      <c r="C17" s="169"/>
      <c r="D17" s="169">
        <f t="shared" si="2"/>
        <v>0</v>
      </c>
      <c r="E17" s="169"/>
      <c r="F17" s="169">
        <f t="shared" si="3"/>
        <v>0</v>
      </c>
    </row>
    <row r="18" spans="1:6" x14ac:dyDescent="0.25">
      <c r="A18" s="223" t="s">
        <v>528</v>
      </c>
      <c r="B18" s="169"/>
      <c r="C18" s="169"/>
      <c r="D18" s="169">
        <f t="shared" si="2"/>
        <v>0</v>
      </c>
      <c r="E18" s="169"/>
      <c r="F18" s="169">
        <f t="shared" si="3"/>
        <v>0</v>
      </c>
    </row>
    <row r="19" spans="1:6" x14ac:dyDescent="0.25">
      <c r="A19" s="354" t="s">
        <v>564</v>
      </c>
      <c r="B19" s="180">
        <f>SUM(B14:B18)</f>
        <v>0</v>
      </c>
      <c r="C19" s="180">
        <f t="shared" ref="C19:F19" si="4">SUM(C14:C18)</f>
        <v>0</v>
      </c>
      <c r="D19" s="180">
        <f t="shared" si="4"/>
        <v>0</v>
      </c>
      <c r="E19" s="180">
        <f t="shared" si="4"/>
        <v>0</v>
      </c>
      <c r="F19" s="180">
        <f t="shared" si="4"/>
        <v>0</v>
      </c>
    </row>
    <row r="20" spans="1:6" x14ac:dyDescent="0.25">
      <c r="A20" s="237" t="s">
        <v>509</v>
      </c>
      <c r="B20" s="169"/>
      <c r="C20" s="169"/>
      <c r="D20" s="169">
        <f>B20-C20</f>
        <v>0</v>
      </c>
      <c r="E20" s="169"/>
      <c r="F20" s="169">
        <f>E20-D20</f>
        <v>0</v>
      </c>
    </row>
    <row r="21" spans="1:6" x14ac:dyDescent="0.25">
      <c r="A21" s="239" t="s">
        <v>113</v>
      </c>
      <c r="B21" s="169"/>
      <c r="C21" s="169"/>
      <c r="D21" s="169">
        <f>B21-C21</f>
        <v>0</v>
      </c>
      <c r="E21" s="169"/>
      <c r="F21" s="169">
        <f>E21-D21</f>
        <v>0</v>
      </c>
    </row>
    <row r="22" spans="1:6" x14ac:dyDescent="0.25">
      <c r="A22" s="354" t="s">
        <v>575</v>
      </c>
      <c r="B22" s="180">
        <f>SUM(B20:B21)</f>
        <v>0</v>
      </c>
      <c r="C22" s="180">
        <f t="shared" ref="C22:F22" si="5">SUM(C20:C21)</f>
        <v>0</v>
      </c>
      <c r="D22" s="180">
        <f t="shared" si="5"/>
        <v>0</v>
      </c>
      <c r="E22" s="180">
        <f t="shared" si="5"/>
        <v>0</v>
      </c>
      <c r="F22" s="180">
        <f t="shared" si="5"/>
        <v>0</v>
      </c>
    </row>
    <row r="23" spans="1:6" x14ac:dyDescent="0.25">
      <c r="A23" s="355" t="s">
        <v>164</v>
      </c>
      <c r="B23" s="348">
        <f>B13+B19+B22</f>
        <v>0</v>
      </c>
      <c r="C23" s="348">
        <f t="shared" ref="C23:F23" si="6">C13+C19+C22</f>
        <v>0</v>
      </c>
      <c r="D23" s="348">
        <f t="shared" si="6"/>
        <v>0</v>
      </c>
      <c r="E23" s="348">
        <f t="shared" si="6"/>
        <v>0</v>
      </c>
      <c r="F23" s="348">
        <f t="shared" si="6"/>
        <v>0</v>
      </c>
    </row>
    <row r="25" ht="14.4" customHeight="1" spans="1:1" x14ac:dyDescent="0.25">
      <c r="A25" s="300" t="s">
        <v>586</v>
      </c>
    </row>
  </sheetData>
  <mergeCells count="5">
    <mergeCell ref="B6:B9"/>
    <mergeCell ref="C6:C9"/>
    <mergeCell ref="D6:D9"/>
    <mergeCell ref="E6:E9"/>
    <mergeCell ref="F6:F9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25"/>
  <sheetViews>
    <sheetView workbookViewId="0" zoomScale="100" zoomScaleNormal="100">
      <selection activeCell="D1" sqref="D1"/>
    </sheetView>
  </sheetViews>
  <sheetFormatPr defaultRowHeight="13.8" outlineLevelRow="0" outlineLevelCol="0" x14ac:dyDescent="0.25" defaultColWidth="11.44140625" customHeight="1"/>
  <cols>
    <col min="1" max="1" width="41.77734375" style="133" customWidth="1"/>
    <col min="2" max="3" width="11.44140625" style="133" customWidth="1"/>
    <col min="4" max="4" width="16.21875" style="133" customWidth="1"/>
    <col min="5" max="16384" width="11.44140625" style="133" customWidth="1"/>
  </cols>
  <sheetData>
    <row r="6" ht="45" customHeight="1" spans="1:4" x14ac:dyDescent="0.25">
      <c r="A6" s="356" t="s">
        <v>587</v>
      </c>
      <c r="B6" s="356"/>
      <c r="C6" s="356"/>
      <c r="D6" s="356"/>
    </row>
    <row r="7" ht="55.2" customHeight="1" spans="1:4" x14ac:dyDescent="0.25">
      <c r="A7" s="337" t="s">
        <v>588</v>
      </c>
      <c r="B7" s="337" t="s">
        <v>589</v>
      </c>
      <c r="C7" s="337" t="s">
        <v>590</v>
      </c>
      <c r="D7" s="337" t="s">
        <v>591</v>
      </c>
    </row>
    <row r="8" spans="1:4" x14ac:dyDescent="0.25">
      <c r="A8" s="267"/>
      <c r="B8" s="267"/>
      <c r="C8" s="267"/>
      <c r="D8" s="267"/>
    </row>
    <row r="9" spans="1:4" x14ac:dyDescent="0.25">
      <c r="A9" s="174"/>
      <c r="B9" s="174"/>
      <c r="C9" s="174"/>
      <c r="D9" s="174"/>
    </row>
    <row r="10" spans="1:4" x14ac:dyDescent="0.25">
      <c r="A10" s="174"/>
      <c r="B10" s="174"/>
      <c r="C10" s="174"/>
      <c r="D10" s="174"/>
    </row>
    <row r="11" spans="1:4" x14ac:dyDescent="0.25">
      <c r="A11" s="174"/>
      <c r="B11" s="174"/>
      <c r="C11" s="174"/>
      <c r="D11" s="174"/>
    </row>
    <row r="12" spans="1:4" x14ac:dyDescent="0.25">
      <c r="A12" s="174"/>
      <c r="B12" s="174"/>
      <c r="C12" s="174"/>
      <c r="D12" s="174"/>
    </row>
    <row r="13" spans="1:4" x14ac:dyDescent="0.25">
      <c r="A13" s="174"/>
      <c r="B13" s="174"/>
      <c r="C13" s="174"/>
      <c r="D13" s="174"/>
    </row>
    <row r="14" spans="1:4" x14ac:dyDescent="0.25">
      <c r="A14" s="174"/>
      <c r="B14" s="174"/>
      <c r="C14" s="174"/>
      <c r="D14" s="174"/>
    </row>
    <row r="15" spans="1:4" x14ac:dyDescent="0.25">
      <c r="A15" s="357" t="s">
        <v>164</v>
      </c>
      <c r="B15" s="358">
        <f>SUM(B8:B14)</f>
        <v>0</v>
      </c>
      <c r="C15" s="358">
        <f t="shared" ref="C15:D15" si="0">SUM(C8:C14)</f>
        <v>0</v>
      </c>
      <c r="D15" s="358">
        <f t="shared" si="0"/>
        <v>0</v>
      </c>
    </row>
    <row r="16" spans="1:4" x14ac:dyDescent="0.25">
      <c r="A16" s="190" t="s">
        <v>592</v>
      </c>
      <c r="B16" s="190"/>
      <c r="C16" s="190"/>
      <c r="D16" s="190"/>
    </row>
    <row r="17" spans="1:4" x14ac:dyDescent="0.25">
      <c r="A17" s="190"/>
      <c r="B17" s="190"/>
      <c r="C17" s="190"/>
      <c r="D17" s="190"/>
    </row>
    <row r="18" spans="1:4" x14ac:dyDescent="0.25">
      <c r="A18" s="190"/>
      <c r="B18" s="190"/>
      <c r="C18" s="190"/>
      <c r="D18" s="190"/>
    </row>
    <row r="19" spans="1:4" x14ac:dyDescent="0.25">
      <c r="A19" s="190"/>
      <c r="B19" s="190"/>
      <c r="C19" s="190"/>
      <c r="D19" s="190"/>
    </row>
    <row r="20" spans="1:4" x14ac:dyDescent="0.25">
      <c r="A20" s="356" t="s">
        <v>593</v>
      </c>
      <c r="B20" s="356"/>
      <c r="C20" s="356"/>
      <c r="D20" s="356"/>
    </row>
    <row r="21" spans="1:4" x14ac:dyDescent="0.25">
      <c r="A21" s="356"/>
      <c r="B21" s="356"/>
      <c r="C21" s="356"/>
      <c r="D21" s="356"/>
    </row>
    <row r="22" spans="1:4" x14ac:dyDescent="0.25">
      <c r="A22" s="356"/>
      <c r="B22" s="356"/>
      <c r="C22" s="356"/>
      <c r="D22" s="356"/>
    </row>
    <row r="23" spans="1:4" x14ac:dyDescent="0.25">
      <c r="A23" s="356"/>
      <c r="B23" s="356"/>
      <c r="C23" s="356"/>
      <c r="D23" s="356"/>
    </row>
    <row r="24" spans="1:4" x14ac:dyDescent="0.25">
      <c r="A24" s="356"/>
      <c r="B24" s="356"/>
      <c r="C24" s="356"/>
      <c r="D24" s="356"/>
    </row>
    <row r="25" spans="1:4" x14ac:dyDescent="0.25">
      <c r="A25" s="359" t="s">
        <v>594</v>
      </c>
      <c r="B25" s="359"/>
      <c r="C25" s="359"/>
      <c r="D25" s="359"/>
    </row>
  </sheetData>
  <mergeCells count="4">
    <mergeCell ref="A6:D6"/>
    <mergeCell ref="A16:D19"/>
    <mergeCell ref="A20:D24"/>
    <mergeCell ref="A25:D25"/>
  </mergeCells>
  <pageMargins left="0.7" right="0.7" top="0.75" bottom="0.75" header="0.3" footer="0.3"/>
  <pageSetup paperSize="9" orientation="portrait" horizontalDpi="4294967295" verticalDpi="4294967295" scale="94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24"/>
  <sheetViews>
    <sheetView workbookViewId="0" zoomScale="100" zoomScaleNormal="100">
      <selection activeCell="B18" sqref="B18"/>
    </sheetView>
  </sheetViews>
  <sheetFormatPr defaultRowHeight="13.8" outlineLevelRow="0" outlineLevelCol="0" x14ac:dyDescent="0.25" defaultColWidth="11.44140625" customHeight="1"/>
  <cols>
    <col min="1" max="1" width="32.21875" style="133" customWidth="1"/>
    <col min="2" max="3" width="8.21875" style="133" customWidth="1"/>
    <col min="4" max="4" width="11.44140625" style="133" customWidth="1"/>
    <col min="5" max="5" width="12.21875" style="133" customWidth="1"/>
    <col min="6" max="6" width="10.77734375" style="133" customWidth="1"/>
    <col min="7" max="7" width="10.44140625" style="133" customWidth="1"/>
    <col min="8" max="16384" width="11.44140625" style="133" customWidth="1"/>
  </cols>
  <sheetData>
    <row r="6" ht="77.25" customHeight="1" spans="1:8" x14ac:dyDescent="0.25">
      <c r="A6" s="152" t="s">
        <v>399</v>
      </c>
      <c r="B6" s="152" t="s">
        <v>595</v>
      </c>
      <c r="C6" s="152" t="s">
        <v>596</v>
      </c>
      <c r="D6" s="152" t="s">
        <v>597</v>
      </c>
      <c r="E6" s="152" t="s">
        <v>598</v>
      </c>
      <c r="F6" s="152" t="s">
        <v>599</v>
      </c>
      <c r="G6" s="152" t="s">
        <v>600</v>
      </c>
      <c r="H6" s="360"/>
    </row>
    <row r="7" spans="1:7" x14ac:dyDescent="0.25">
      <c r="A7" s="361" t="s">
        <v>530</v>
      </c>
      <c r="B7" s="362"/>
      <c r="C7" s="362"/>
      <c r="D7" s="363">
        <f>IF(C7=0,0,(B7-C7)/C7)*100</f>
        <v>0</v>
      </c>
      <c r="E7" s="364"/>
      <c r="F7" s="364"/>
      <c r="G7" s="364"/>
    </row>
    <row r="8" spans="1:7" x14ac:dyDescent="0.25">
      <c r="A8" s="175" t="s">
        <v>601</v>
      </c>
      <c r="B8" s="169"/>
      <c r="C8" s="169"/>
      <c r="D8" s="363">
        <f t="shared" ref="D8:D17" si="0">IF(C8=0,0,(B8-C8)/C8)*100</f>
        <v>0</v>
      </c>
      <c r="E8" s="169"/>
      <c r="F8" s="169"/>
      <c r="G8" s="169"/>
    </row>
    <row r="9" spans="1:7" x14ac:dyDescent="0.25">
      <c r="A9" s="175" t="s">
        <v>602</v>
      </c>
      <c r="B9" s="169"/>
      <c r="C9" s="169"/>
      <c r="D9" s="363">
        <f t="shared" si="0"/>
        <v>0</v>
      </c>
      <c r="E9" s="169"/>
      <c r="F9" s="169"/>
      <c r="G9" s="169"/>
    </row>
    <row r="10" spans="1:7" x14ac:dyDescent="0.25">
      <c r="A10" s="175" t="s">
        <v>603</v>
      </c>
      <c r="B10" s="169"/>
      <c r="C10" s="169"/>
      <c r="D10" s="363">
        <f t="shared" si="0"/>
        <v>0</v>
      </c>
      <c r="E10" s="169"/>
      <c r="F10" s="169"/>
      <c r="G10" s="169"/>
    </row>
    <row r="11" spans="1:7" x14ac:dyDescent="0.25">
      <c r="A11" s="175" t="s">
        <v>604</v>
      </c>
      <c r="B11" s="169"/>
      <c r="C11" s="169"/>
      <c r="D11" s="363">
        <f t="shared" si="0"/>
        <v>0</v>
      </c>
      <c r="E11" s="169"/>
      <c r="F11" s="169"/>
      <c r="G11" s="169"/>
    </row>
    <row r="12" spans="1:7" x14ac:dyDescent="0.25">
      <c r="A12" s="175" t="s">
        <v>605</v>
      </c>
      <c r="B12" s="169">
        <v>180000</v>
      </c>
      <c r="C12" s="169">
        <v>180000</v>
      </c>
      <c r="D12" s="363">
        <f t="shared" si="0"/>
        <v>0</v>
      </c>
      <c r="E12" s="169"/>
      <c r="F12" s="169"/>
      <c r="G12" s="169"/>
    </row>
    <row r="13" spans="1:7" x14ac:dyDescent="0.25">
      <c r="A13" s="175" t="s">
        <v>606</v>
      </c>
      <c r="B13" s="169"/>
      <c r="C13" s="169"/>
      <c r="D13" s="363">
        <f t="shared" si="0"/>
        <v>0</v>
      </c>
      <c r="E13" s="169"/>
      <c r="F13" s="169"/>
      <c r="G13" s="169"/>
    </row>
    <row r="14" spans="1:7" x14ac:dyDescent="0.25">
      <c r="A14" s="365" t="s">
        <v>607</v>
      </c>
      <c r="B14" s="169"/>
      <c r="C14" s="169"/>
      <c r="D14" s="363">
        <f t="shared" si="0"/>
        <v>0</v>
      </c>
      <c r="E14" s="169"/>
      <c r="F14" s="169"/>
      <c r="G14" s="169"/>
    </row>
    <row r="15" spans="1:7" x14ac:dyDescent="0.25">
      <c r="A15" s="366" t="s">
        <v>608</v>
      </c>
      <c r="B15" s="270">
        <f>SUM(B7:B14)</f>
        <v>180000</v>
      </c>
      <c r="C15" s="270">
        <f t="shared" ref="C15:G15" si="1">SUM(C7:C14)</f>
        <v>180000</v>
      </c>
      <c r="D15" s="367">
        <f t="shared" si="0"/>
        <v>0</v>
      </c>
      <c r="E15" s="270">
        <f t="shared" si="1"/>
        <v>0</v>
      </c>
      <c r="F15" s="270">
        <f t="shared" si="1"/>
        <v>0</v>
      </c>
      <c r="G15" s="270">
        <f t="shared" si="1"/>
        <v>0</v>
      </c>
    </row>
    <row r="16" ht="27.6" customHeight="1" spans="1:7" x14ac:dyDescent="0.25">
      <c r="A16" s="175" t="s">
        <v>609</v>
      </c>
      <c r="B16" s="169"/>
      <c r="C16" s="169"/>
      <c r="D16" s="363">
        <f t="shared" si="0"/>
        <v>0</v>
      </c>
      <c r="E16" s="368"/>
      <c r="F16" s="368"/>
      <c r="G16" s="368"/>
    </row>
    <row r="17" ht="27.6" customHeight="1" spans="1:7" x14ac:dyDescent="0.25">
      <c r="A17" s="175" t="s">
        <v>610</v>
      </c>
      <c r="B17" s="169">
        <v>0</v>
      </c>
      <c r="C17" s="169">
        <v>0</v>
      </c>
      <c r="D17" s="363">
        <f t="shared" si="0"/>
        <v>0</v>
      </c>
      <c r="E17" s="368"/>
      <c r="F17" s="368"/>
      <c r="G17" s="368"/>
    </row>
    <row r="18" ht="28.5" customHeight="1" spans="1:7" x14ac:dyDescent="0.25">
      <c r="A18" s="312" t="s">
        <v>611</v>
      </c>
      <c r="B18" s="369">
        <f>B15-B16-B17</f>
        <v>180000</v>
      </c>
      <c r="C18" s="369">
        <f t="shared" ref="C18:D18" si="2">C15-C16-C17</f>
        <v>180000</v>
      </c>
      <c r="D18" s="369">
        <f t="shared" si="2"/>
        <v>0</v>
      </c>
      <c r="E18" s="370"/>
      <c r="F18" s="370"/>
      <c r="G18" s="370"/>
    </row>
    <row r="19" spans="1:1" x14ac:dyDescent="0.25">
      <c r="A19" s="371"/>
    </row>
    <row r="20" spans="1:8" x14ac:dyDescent="0.25">
      <c r="A20" s="372" t="s">
        <v>612</v>
      </c>
      <c r="B20" s="186"/>
      <c r="C20" s="186"/>
      <c r="D20" s="186"/>
      <c r="E20" s="186"/>
      <c r="F20" s="186"/>
      <c r="G20" s="186"/>
      <c r="H20" s="186"/>
    </row>
    <row r="21" spans="1:8" x14ac:dyDescent="0.25">
      <c r="A21" s="373" t="s">
        <v>613</v>
      </c>
      <c r="B21" s="186"/>
      <c r="C21" s="186"/>
      <c r="D21" s="186"/>
      <c r="E21" s="186"/>
      <c r="F21" s="186"/>
      <c r="G21" s="186"/>
      <c r="H21" s="186"/>
    </row>
    <row r="22" spans="1:8" x14ac:dyDescent="0.25">
      <c r="A22" s="373" t="s">
        <v>614</v>
      </c>
      <c r="B22" s="186"/>
      <c r="C22" s="186"/>
      <c r="D22" s="186"/>
      <c r="E22" s="186"/>
      <c r="F22" s="186"/>
      <c r="G22" s="186"/>
      <c r="H22" s="186"/>
    </row>
    <row r="23" spans="1:8" x14ac:dyDescent="0.25">
      <c r="A23" s="373" t="s">
        <v>615</v>
      </c>
      <c r="B23" s="186"/>
      <c r="C23" s="186"/>
      <c r="D23" s="186"/>
      <c r="E23" s="186"/>
      <c r="F23" s="186"/>
      <c r="G23" s="186"/>
      <c r="H23" s="186"/>
    </row>
    <row r="24" spans="1:8" x14ac:dyDescent="0.25">
      <c r="A24" s="373" t="s">
        <v>616</v>
      </c>
      <c r="B24" s="186"/>
      <c r="C24" s="186"/>
      <c r="D24" s="186"/>
      <c r="E24" s="186"/>
      <c r="F24" s="186"/>
      <c r="G24" s="186"/>
      <c r="H24" s="186"/>
    </row>
  </sheetData>
  <pageMargins left="0.7" right="0.7" top="0.75" bottom="0.75" header="0.3" footer="0.3"/>
  <pageSetup paperSize="9" orientation="portrait" horizontalDpi="4294967295" verticalDpi="4294967295" scale="83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3"/>
  <sheetViews>
    <sheetView workbookViewId="0" zoomScale="100" zoomScaleNormal="100">
      <selection activeCell="E1" sqref="E1"/>
    </sheetView>
  </sheetViews>
  <sheetFormatPr defaultRowHeight="13.8" outlineLevelRow="0" outlineLevelCol="0" x14ac:dyDescent="0.25" defaultColWidth="11.44140625" customHeight="1"/>
  <cols>
    <col min="1" max="1" width="52.77734375" style="133" customWidth="1"/>
    <col min="2" max="16384" width="11.44140625" style="133" customWidth="1"/>
  </cols>
  <sheetData>
    <row r="6" spans="1:5" x14ac:dyDescent="0.25">
      <c r="A6" s="374" t="s">
        <v>617</v>
      </c>
      <c r="B6" s="374"/>
      <c r="C6" s="374"/>
      <c r="D6" s="374"/>
      <c r="E6" s="374"/>
    </row>
    <row r="7" spans="1:5" x14ac:dyDescent="0.25">
      <c r="A7" s="152" t="s">
        <v>399</v>
      </c>
      <c r="B7" s="152" t="s">
        <v>595</v>
      </c>
      <c r="C7" s="152" t="s">
        <v>596</v>
      </c>
      <c r="D7" s="152" t="s">
        <v>618</v>
      </c>
      <c r="E7" s="152"/>
    </row>
    <row r="8" spans="1:5" x14ac:dyDescent="0.25">
      <c r="A8" s="152"/>
      <c r="B8" s="152"/>
      <c r="C8" s="152"/>
      <c r="D8" s="152" t="s">
        <v>619</v>
      </c>
      <c r="E8" s="152" t="s">
        <v>620</v>
      </c>
    </row>
    <row r="9" spans="1:5" x14ac:dyDescent="0.25">
      <c r="A9" s="175" t="s">
        <v>621</v>
      </c>
      <c r="B9" s="174"/>
      <c r="C9" s="174">
        <v>0</v>
      </c>
      <c r="D9" s="174">
        <v>0</v>
      </c>
      <c r="E9" s="375">
        <f>IF(C9=0,0,(B9-C9)/C9)*100</f>
        <v>0</v>
      </c>
    </row>
    <row r="10" spans="1:5" x14ac:dyDescent="0.25">
      <c r="A10" s="175" t="s">
        <v>622</v>
      </c>
      <c r="B10" s="174"/>
      <c r="C10" s="174">
        <v>0</v>
      </c>
      <c r="D10" s="174">
        <v>0</v>
      </c>
      <c r="E10" s="174">
        <f t="shared" ref="E10:E15" si="0">IF(C10=0,0,(B10-C10)/C10)*100</f>
        <v>0</v>
      </c>
    </row>
    <row r="11" spans="1:5" x14ac:dyDescent="0.25">
      <c r="A11" s="175" t="s">
        <v>623</v>
      </c>
      <c r="B11" s="174"/>
      <c r="C11" s="174">
        <v>0</v>
      </c>
      <c r="D11" s="174">
        <v>0</v>
      </c>
      <c r="E11" s="174">
        <f t="shared" si="0"/>
        <v>0</v>
      </c>
    </row>
    <row r="12" spans="1:5" x14ac:dyDescent="0.25">
      <c r="A12" s="366" t="s">
        <v>608</v>
      </c>
      <c r="B12" s="376">
        <f>SUM(B9:B11)</f>
        <v>0</v>
      </c>
      <c r="C12" s="376">
        <f>SUM(C9:C11)</f>
        <v>0</v>
      </c>
      <c r="D12" s="377">
        <f t="shared" ref="D12:D15" si="1">(B12-C12)</f>
        <v>0</v>
      </c>
      <c r="E12" s="377">
        <f t="shared" si="0"/>
        <v>0</v>
      </c>
    </row>
    <row r="13" spans="1:5" x14ac:dyDescent="0.25">
      <c r="A13" s="175" t="s">
        <v>624</v>
      </c>
      <c r="B13" s="174"/>
      <c r="C13" s="174">
        <v>0</v>
      </c>
      <c r="D13" s="174">
        <v>0</v>
      </c>
      <c r="E13" s="174">
        <f t="shared" si="0"/>
        <v>0</v>
      </c>
    </row>
    <row r="14" spans="1:5" x14ac:dyDescent="0.25">
      <c r="A14" s="175"/>
      <c r="B14" s="174"/>
      <c r="C14" s="174"/>
      <c r="D14" s="174">
        <f t="shared" si="1"/>
        <v>0</v>
      </c>
      <c r="E14" s="174">
        <f t="shared" si="0"/>
        <v>0</v>
      </c>
    </row>
    <row r="15" spans="1:5" x14ac:dyDescent="0.25">
      <c r="A15" s="312" t="s">
        <v>625</v>
      </c>
      <c r="B15" s="176">
        <f>B12-B13</f>
        <v>0</v>
      </c>
      <c r="C15" s="176">
        <f t="shared" ref="C15" si="2">C12-C13</f>
        <v>0</v>
      </c>
      <c r="D15" s="176">
        <f t="shared" si="1"/>
        <v>0</v>
      </c>
      <c r="E15" s="176">
        <f t="shared" si="0"/>
        <v>0</v>
      </c>
    </row>
    <row r="16" spans="1:1" x14ac:dyDescent="0.25">
      <c r="A16" s="378" t="s">
        <v>27</v>
      </c>
    </row>
    <row r="17" spans="1:5" x14ac:dyDescent="0.25">
      <c r="A17" s="372" t="s">
        <v>612</v>
      </c>
      <c r="B17" s="186"/>
      <c r="C17" s="186"/>
      <c r="D17" s="186"/>
      <c r="E17" s="186"/>
    </row>
    <row r="18" spans="1:5" x14ac:dyDescent="0.25">
      <c r="A18" s="379" t="s">
        <v>614</v>
      </c>
      <c r="B18" s="186"/>
      <c r="C18" s="186"/>
      <c r="D18" s="186"/>
      <c r="E18" s="186"/>
    </row>
    <row r="19" spans="1:5" x14ac:dyDescent="0.25">
      <c r="A19" s="379" t="s">
        <v>626</v>
      </c>
      <c r="B19" s="186"/>
      <c r="C19" s="186"/>
      <c r="D19" s="186"/>
      <c r="E19" s="186"/>
    </row>
    <row r="20" spans="1:1" x14ac:dyDescent="0.25">
      <c r="A20" s="378"/>
    </row>
    <row r="21" spans="1:5" x14ac:dyDescent="0.25">
      <c r="A21" s="380" t="s">
        <v>627</v>
      </c>
      <c r="B21" s="380"/>
      <c r="C21" s="380"/>
      <c r="D21" s="380"/>
      <c r="E21" s="380"/>
    </row>
    <row r="22" spans="1:5" x14ac:dyDescent="0.25">
      <c r="A22" s="152" t="s">
        <v>399</v>
      </c>
      <c r="B22" s="152" t="s">
        <v>595</v>
      </c>
      <c r="C22" s="152" t="s">
        <v>596</v>
      </c>
      <c r="D22" s="152" t="s">
        <v>618</v>
      </c>
      <c r="E22" s="152"/>
    </row>
    <row r="23" spans="1:5" x14ac:dyDescent="0.25">
      <c r="A23" s="152"/>
      <c r="B23" s="152"/>
      <c r="C23" s="152"/>
      <c r="D23" s="152" t="s">
        <v>619</v>
      </c>
      <c r="E23" s="152" t="s">
        <v>620</v>
      </c>
    </row>
    <row r="24" spans="1:5" x14ac:dyDescent="0.25">
      <c r="A24" s="365" t="s">
        <v>628</v>
      </c>
      <c r="B24" s="169"/>
      <c r="C24" s="169">
        <v>0</v>
      </c>
      <c r="D24" s="169">
        <v>0</v>
      </c>
      <c r="E24" s="169">
        <f>IF(C24=0,0,(B24-C24)/C24)*100</f>
        <v>0</v>
      </c>
    </row>
    <row r="25" spans="1:5" x14ac:dyDescent="0.25">
      <c r="A25" s="365" t="s">
        <v>629</v>
      </c>
      <c r="B25" s="169"/>
      <c r="C25" s="169">
        <v>0</v>
      </c>
      <c r="D25" s="169">
        <v>0</v>
      </c>
      <c r="E25" s="169">
        <f t="shared" ref="E25:E28" si="3">IF(C25=0,0,(B25-C25)/C25)*100</f>
        <v>0</v>
      </c>
    </row>
    <row r="26" spans="1:5" x14ac:dyDescent="0.25">
      <c r="A26" s="365" t="s">
        <v>630</v>
      </c>
      <c r="B26" s="169"/>
      <c r="C26" s="169">
        <v>0</v>
      </c>
      <c r="D26" s="169">
        <v>0</v>
      </c>
      <c r="E26" s="169">
        <f t="shared" si="3"/>
        <v>0</v>
      </c>
    </row>
    <row r="27" spans="1:5" x14ac:dyDescent="0.25">
      <c r="A27" s="365"/>
      <c r="B27" s="169"/>
      <c r="C27" s="169"/>
      <c r="D27" s="169">
        <f t="shared" ref="D27:D28" si="4">(B27-C27)</f>
        <v>0</v>
      </c>
      <c r="E27" s="169">
        <f t="shared" si="3"/>
        <v>0</v>
      </c>
    </row>
    <row r="28" spans="1:5" x14ac:dyDescent="0.25">
      <c r="A28" s="171" t="s">
        <v>435</v>
      </c>
      <c r="B28" s="381">
        <f>SUM(B24:B26)</f>
        <v>0</v>
      </c>
      <c r="C28" s="381">
        <f t="shared" ref="C28" si="5">SUM(C24:C26)</f>
        <v>0</v>
      </c>
      <c r="D28" s="172">
        <f t="shared" si="4"/>
        <v>0</v>
      </c>
      <c r="E28" s="172">
        <f t="shared" si="3"/>
        <v>0</v>
      </c>
    </row>
    <row r="29" spans="1:1" x14ac:dyDescent="0.25">
      <c r="A29" s="378"/>
    </row>
    <row r="30" spans="1:2" x14ac:dyDescent="0.25">
      <c r="A30" s="372" t="s">
        <v>631</v>
      </c>
      <c r="B30" s="186"/>
    </row>
    <row r="31" spans="1:2" x14ac:dyDescent="0.25">
      <c r="A31" s="379" t="s">
        <v>632</v>
      </c>
      <c r="B31" s="186"/>
    </row>
    <row r="32" spans="1:2" x14ac:dyDescent="0.25">
      <c r="A32" s="382" t="s">
        <v>633</v>
      </c>
      <c r="B32" s="186"/>
    </row>
    <row r="33" spans="1:1" x14ac:dyDescent="0.25">
      <c r="A33" s="378"/>
    </row>
  </sheetData>
  <mergeCells count="10">
    <mergeCell ref="A6:E6"/>
    <mergeCell ref="D7:E7"/>
    <mergeCell ref="A7:A8"/>
    <mergeCell ref="B7:B8"/>
    <mergeCell ref="C7:C8"/>
    <mergeCell ref="A21:E21"/>
    <mergeCell ref="D22:E22"/>
    <mergeCell ref="A22:A23"/>
    <mergeCell ref="B22:B23"/>
    <mergeCell ref="C22:C23"/>
  </mergeCells>
  <pageMargins left="0.7" right="0.7" top="0.75" bottom="0.75" header="0.3" footer="0.3"/>
  <pageSetup paperSize="9" orientation="portrait" horizontalDpi="4294967295" verticalDpi="4294967295" scale="79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24"/>
  <sheetViews>
    <sheetView workbookViewId="0" zoomScale="100" zoomScaleNormal="100">
      <selection activeCell="F1" sqref="F1"/>
    </sheetView>
  </sheetViews>
  <sheetFormatPr defaultRowHeight="13.8" outlineLevelRow="0" outlineLevelCol="0" x14ac:dyDescent="0.25" defaultColWidth="11.44140625" customHeight="1"/>
  <cols>
    <col min="1" max="1" width="38.21875" style="133" customWidth="1"/>
    <col min="2" max="3" width="11.44140625" style="133" customWidth="1"/>
    <col min="4" max="4" width="14.77734375" style="133" customWidth="1"/>
    <col min="5" max="16384" width="11.44140625" style="133" customWidth="1"/>
  </cols>
  <sheetData>
    <row r="6" ht="15" customHeight="1" spans="1:6" x14ac:dyDescent="0.25">
      <c r="A6" s="302" t="s">
        <v>399</v>
      </c>
      <c r="B6" s="151" t="s">
        <v>595</v>
      </c>
      <c r="C6" s="151" t="s">
        <v>596</v>
      </c>
      <c r="D6" s="302" t="s">
        <v>634</v>
      </c>
      <c r="E6" s="153" t="s">
        <v>618</v>
      </c>
      <c r="F6" s="153"/>
    </row>
    <row r="7" ht="45.75" customHeight="1" spans="1:6" x14ac:dyDescent="0.25">
      <c r="A7" s="308"/>
      <c r="B7" s="154"/>
      <c r="C7" s="154"/>
      <c r="D7" s="308"/>
      <c r="E7" s="153" t="s">
        <v>619</v>
      </c>
      <c r="F7" s="153" t="s">
        <v>620</v>
      </c>
    </row>
    <row r="8" spans="1:6" x14ac:dyDescent="0.25">
      <c r="A8" s="175" t="s">
        <v>635</v>
      </c>
      <c r="B8" s="169"/>
      <c r="C8" s="169"/>
      <c r="D8" s="169"/>
      <c r="E8" s="169">
        <f>B8-C8</f>
        <v>0</v>
      </c>
      <c r="F8" s="169">
        <f>IF(C8=0,0,(B8-C8)/C8)*100</f>
        <v>0</v>
      </c>
    </row>
    <row r="9" spans="1:6" x14ac:dyDescent="0.25">
      <c r="A9" s="175" t="s">
        <v>636</v>
      </c>
      <c r="B9" s="169"/>
      <c r="C9" s="169"/>
      <c r="D9" s="169"/>
      <c r="E9" s="169">
        <f t="shared" ref="E9:E17" si="0">B9-C9</f>
        <v>0</v>
      </c>
      <c r="F9" s="169">
        <f t="shared" ref="F9:F17" si="1">IF(C9=0,0,(B9-C9)/C9)*100</f>
        <v>0</v>
      </c>
    </row>
    <row r="10" spans="1:6" x14ac:dyDescent="0.25">
      <c r="A10" s="175" t="s">
        <v>637</v>
      </c>
      <c r="B10" s="169"/>
      <c r="C10" s="169"/>
      <c r="D10" s="169"/>
      <c r="E10" s="169">
        <f t="shared" si="0"/>
        <v>0</v>
      </c>
      <c r="F10" s="169">
        <f t="shared" si="1"/>
        <v>0</v>
      </c>
    </row>
    <row r="11" spans="1:6" x14ac:dyDescent="0.25">
      <c r="A11" s="175" t="s">
        <v>439</v>
      </c>
      <c r="B11" s="169"/>
      <c r="C11" s="169"/>
      <c r="D11" s="169"/>
      <c r="E11" s="169">
        <f t="shared" si="0"/>
        <v>0</v>
      </c>
      <c r="F11" s="169">
        <f t="shared" si="1"/>
        <v>0</v>
      </c>
    </row>
    <row r="12" spans="1:6" x14ac:dyDescent="0.25">
      <c r="A12" s="175" t="s">
        <v>638</v>
      </c>
      <c r="B12" s="169"/>
      <c r="C12" s="169"/>
      <c r="D12" s="169"/>
      <c r="E12" s="169">
        <f t="shared" si="0"/>
        <v>0</v>
      </c>
      <c r="F12" s="169">
        <f t="shared" si="1"/>
        <v>0</v>
      </c>
    </row>
    <row r="13" spans="1:6" x14ac:dyDescent="0.25">
      <c r="A13" s="175" t="s">
        <v>639</v>
      </c>
      <c r="B13" s="169"/>
      <c r="C13" s="169"/>
      <c r="D13" s="169"/>
      <c r="E13" s="169">
        <f t="shared" si="0"/>
        <v>0</v>
      </c>
      <c r="F13" s="169">
        <f t="shared" si="1"/>
        <v>0</v>
      </c>
    </row>
    <row r="14" spans="1:6" x14ac:dyDescent="0.25">
      <c r="A14" s="175" t="s">
        <v>640</v>
      </c>
      <c r="B14" s="169"/>
      <c r="C14" s="169"/>
      <c r="D14" s="169"/>
      <c r="E14" s="169">
        <f t="shared" si="0"/>
        <v>0</v>
      </c>
      <c r="F14" s="169">
        <f t="shared" si="1"/>
        <v>0</v>
      </c>
    </row>
    <row r="15" spans="1:6" x14ac:dyDescent="0.25">
      <c r="A15" s="322" t="s">
        <v>641</v>
      </c>
      <c r="B15" s="180">
        <f>SUM(B8:B14)</f>
        <v>0</v>
      </c>
      <c r="C15" s="180">
        <f t="shared" ref="C15:D15" si="2">SUM(C8:C14)</f>
        <v>0</v>
      </c>
      <c r="D15" s="180">
        <f t="shared" si="2"/>
        <v>0</v>
      </c>
      <c r="E15" s="180">
        <f t="shared" si="0"/>
        <v>0</v>
      </c>
      <c r="F15" s="180">
        <f t="shared" si="1"/>
        <v>0</v>
      </c>
    </row>
    <row r="16" spans="1:6" x14ac:dyDescent="0.25">
      <c r="A16" s="175" t="s">
        <v>642</v>
      </c>
      <c r="B16" s="169">
        <v>0</v>
      </c>
      <c r="C16" s="169">
        <v>0</v>
      </c>
      <c r="D16" s="169"/>
      <c r="E16" s="169">
        <f t="shared" si="0"/>
        <v>0</v>
      </c>
      <c r="F16" s="169">
        <f t="shared" si="1"/>
        <v>0</v>
      </c>
    </row>
    <row r="17" spans="1:6" x14ac:dyDescent="0.25">
      <c r="A17" s="383" t="s">
        <v>625</v>
      </c>
      <c r="B17" s="172">
        <f>B15-B16</f>
        <v>0</v>
      </c>
      <c r="C17" s="172">
        <f t="shared" ref="C17:D17" si="3">C15-C16</f>
        <v>0</v>
      </c>
      <c r="D17" s="172">
        <f t="shared" si="3"/>
        <v>0</v>
      </c>
      <c r="E17" s="172">
        <f t="shared" si="0"/>
        <v>0</v>
      </c>
      <c r="F17" s="172">
        <f t="shared" si="1"/>
        <v>0</v>
      </c>
    </row>
    <row r="18" spans="1:1" x14ac:dyDescent="0.25">
      <c r="A18" s="378"/>
    </row>
    <row r="19" ht="24" customHeight="1" spans="1:6" x14ac:dyDescent="0.25">
      <c r="A19" s="384" t="s">
        <v>643</v>
      </c>
      <c r="B19" s="384"/>
      <c r="C19" s="384"/>
      <c r="D19" s="384"/>
      <c r="E19" s="384"/>
      <c r="F19" s="384"/>
    </row>
    <row r="20" spans="1:6" x14ac:dyDescent="0.25">
      <c r="A20" s="228" t="s">
        <v>644</v>
      </c>
      <c r="B20" s="228"/>
      <c r="C20" s="228"/>
      <c r="D20" s="228"/>
      <c r="E20" s="228"/>
      <c r="F20" s="228"/>
    </row>
    <row r="21" ht="24" customHeight="1" spans="1:6" x14ac:dyDescent="0.25">
      <c r="A21" s="229" t="s">
        <v>645</v>
      </c>
      <c r="B21" s="229"/>
      <c r="C21" s="229"/>
      <c r="D21" s="229"/>
      <c r="E21" s="229"/>
      <c r="F21" s="229"/>
    </row>
    <row r="22" spans="1:6" x14ac:dyDescent="0.25">
      <c r="A22" s="385" t="s">
        <v>646</v>
      </c>
      <c r="B22" s="385"/>
      <c r="C22" s="385"/>
      <c r="D22" s="385"/>
      <c r="E22" s="385"/>
      <c r="F22" s="385"/>
    </row>
    <row r="23" ht="24" customHeight="1" spans="1:6" x14ac:dyDescent="0.25">
      <c r="A23" s="229" t="s">
        <v>647</v>
      </c>
      <c r="B23" s="229"/>
      <c r="C23" s="229"/>
      <c r="D23" s="229"/>
      <c r="E23" s="229"/>
      <c r="F23" s="229"/>
    </row>
    <row r="24" ht="15.6" customHeight="1" spans="1:1" x14ac:dyDescent="0.25">
      <c r="A24" s="386"/>
    </row>
  </sheetData>
  <mergeCells count="10">
    <mergeCell ref="E6:F6"/>
    <mergeCell ref="A6:A7"/>
    <mergeCell ref="B6:B7"/>
    <mergeCell ref="C6:C7"/>
    <mergeCell ref="D6:D7"/>
    <mergeCell ref="A19:F19"/>
    <mergeCell ref="A20:F20"/>
    <mergeCell ref="A21:F21"/>
    <mergeCell ref="A22:F22"/>
    <mergeCell ref="A23:F23"/>
  </mergeCells>
  <pageMargins left="0.7" right="0.7" top="0.75" bottom="0.75" header="0.3" footer="0.3"/>
  <pageSetup paperSize="9" orientation="portrait" horizontalDpi="4294967295" verticalDpi="4294967295" scale="79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4"/>
  <sheetViews>
    <sheetView workbookViewId="0" zoomScale="100" zoomScaleNormal="100">
      <selection activeCell="E1" sqref="E1"/>
    </sheetView>
  </sheetViews>
  <sheetFormatPr defaultRowHeight="13.8" outlineLevelRow="0" outlineLevelCol="0" x14ac:dyDescent="0.25" defaultColWidth="11.44140625" customHeight="1"/>
  <cols>
    <col min="1" max="1" width="38.5546875" style="133" customWidth="1"/>
    <col min="2" max="16384" width="11.44140625" style="133" customWidth="1"/>
  </cols>
  <sheetData>
    <row r="5" ht="14.25" customHeight="1" x14ac:dyDescent="0.25"/>
    <row r="6" ht="46.5" customHeight="1" spans="1:8" x14ac:dyDescent="0.25">
      <c r="A6" s="387" t="s">
        <v>399</v>
      </c>
      <c r="B6" s="387" t="s">
        <v>595</v>
      </c>
      <c r="C6" s="387" t="s">
        <v>596</v>
      </c>
      <c r="D6" s="387" t="s">
        <v>618</v>
      </c>
      <c r="E6" s="387"/>
      <c r="F6" s="152" t="s">
        <v>598</v>
      </c>
      <c r="G6" s="152" t="s">
        <v>599</v>
      </c>
      <c r="H6" s="152" t="s">
        <v>600</v>
      </c>
    </row>
    <row r="7" ht="100.5" customHeight="1" spans="1:8" x14ac:dyDescent="0.25">
      <c r="A7" s="387"/>
      <c r="B7" s="387"/>
      <c r="C7" s="387"/>
      <c r="D7" s="387" t="s">
        <v>619</v>
      </c>
      <c r="E7" s="387" t="s">
        <v>620</v>
      </c>
      <c r="F7" s="152"/>
      <c r="G7" s="152"/>
      <c r="H7" s="152"/>
    </row>
    <row r="8" spans="1:8" x14ac:dyDescent="0.25">
      <c r="A8" s="175" t="s">
        <v>648</v>
      </c>
      <c r="B8" s="169"/>
      <c r="C8" s="169"/>
      <c r="D8" s="169">
        <f>B8-C8</f>
        <v>0</v>
      </c>
      <c r="E8" s="169">
        <f>IF(C8=0,0,(B8-C8)/C8)*100</f>
        <v>0</v>
      </c>
      <c r="F8" s="169"/>
      <c r="G8" s="169"/>
      <c r="H8" s="169"/>
    </row>
    <row r="9" spans="1:8" x14ac:dyDescent="0.25">
      <c r="A9" s="175" t="s">
        <v>649</v>
      </c>
      <c r="B9" s="169"/>
      <c r="C9" s="169"/>
      <c r="D9" s="169">
        <f t="shared" ref="D9:D19" si="0">B9-C9</f>
        <v>0</v>
      </c>
      <c r="E9" s="169">
        <f t="shared" ref="E9:E19" si="1">IF(C9=0,0,(B9-C9)/C9)*100</f>
        <v>0</v>
      </c>
      <c r="F9" s="169"/>
      <c r="G9" s="169"/>
      <c r="H9" s="169"/>
    </row>
    <row r="10" ht="27.6" customHeight="1" spans="1:8" x14ac:dyDescent="0.25">
      <c r="A10" s="175" t="s">
        <v>650</v>
      </c>
      <c r="B10" s="169"/>
      <c r="C10" s="169"/>
      <c r="D10" s="169">
        <f t="shared" si="0"/>
        <v>0</v>
      </c>
      <c r="E10" s="169">
        <f t="shared" si="1"/>
        <v>0</v>
      </c>
      <c r="F10" s="169"/>
      <c r="G10" s="169"/>
      <c r="H10" s="169"/>
    </row>
    <row r="11" spans="1:8" x14ac:dyDescent="0.25">
      <c r="A11" s="175" t="s">
        <v>651</v>
      </c>
      <c r="B11" s="169"/>
      <c r="C11" s="169"/>
      <c r="D11" s="169">
        <f t="shared" si="0"/>
        <v>0</v>
      </c>
      <c r="E11" s="169">
        <f t="shared" si="1"/>
        <v>0</v>
      </c>
      <c r="F11" s="169"/>
      <c r="G11" s="169"/>
      <c r="H11" s="169"/>
    </row>
    <row r="12" spans="1:8" x14ac:dyDescent="0.25">
      <c r="A12" s="175" t="s">
        <v>652</v>
      </c>
      <c r="B12" s="169"/>
      <c r="C12" s="169"/>
      <c r="D12" s="169">
        <f t="shared" si="0"/>
        <v>0</v>
      </c>
      <c r="E12" s="169">
        <f t="shared" si="1"/>
        <v>0</v>
      </c>
      <c r="F12" s="169"/>
      <c r="G12" s="169"/>
      <c r="H12" s="169"/>
    </row>
    <row r="13" ht="27.6" customHeight="1" spans="1:8" x14ac:dyDescent="0.25">
      <c r="A13" s="388" t="s">
        <v>653</v>
      </c>
      <c r="B13" s="389">
        <f>SUM(B8:B12)</f>
        <v>0</v>
      </c>
      <c r="C13" s="389">
        <f t="shared" ref="C13:H13" si="2">SUM(C8:C12)</f>
        <v>0</v>
      </c>
      <c r="D13" s="180">
        <f t="shared" si="0"/>
        <v>0</v>
      </c>
      <c r="E13" s="180">
        <f t="shared" si="1"/>
        <v>0</v>
      </c>
      <c r="F13" s="389">
        <f t="shared" si="2"/>
        <v>0</v>
      </c>
      <c r="G13" s="389">
        <f t="shared" si="2"/>
        <v>0</v>
      </c>
      <c r="H13" s="389">
        <f t="shared" si="2"/>
        <v>0</v>
      </c>
    </row>
    <row r="14" ht="27.6" customHeight="1" spans="1:8" x14ac:dyDescent="0.25">
      <c r="A14" s="175" t="s">
        <v>654</v>
      </c>
      <c r="B14" s="169"/>
      <c r="C14" s="169"/>
      <c r="D14" s="169">
        <f t="shared" si="0"/>
        <v>0</v>
      </c>
      <c r="E14" s="169">
        <f t="shared" si="1"/>
        <v>0</v>
      </c>
      <c r="F14" s="390"/>
      <c r="G14" s="390"/>
      <c r="H14" s="390"/>
    </row>
    <row r="15" spans="1:8" x14ac:dyDescent="0.25">
      <c r="A15" s="391" t="s">
        <v>655</v>
      </c>
      <c r="B15" s="389">
        <f>B13-B14</f>
        <v>0</v>
      </c>
      <c r="C15" s="389">
        <f t="shared" ref="C15" si="3">C13-C14</f>
        <v>0</v>
      </c>
      <c r="D15" s="180">
        <f t="shared" si="0"/>
        <v>0</v>
      </c>
      <c r="E15" s="180">
        <f t="shared" si="1"/>
        <v>0</v>
      </c>
      <c r="F15" s="392"/>
      <c r="G15" s="392"/>
      <c r="H15" s="392"/>
    </row>
    <row r="16" spans="1:8" x14ac:dyDescent="0.25">
      <c r="A16" s="175" t="s">
        <v>656</v>
      </c>
      <c r="B16" s="169">
        <v>0</v>
      </c>
      <c r="C16" s="169">
        <v>0</v>
      </c>
      <c r="D16" s="169">
        <f t="shared" si="0"/>
        <v>0</v>
      </c>
      <c r="E16" s="169">
        <f t="shared" si="1"/>
        <v>0</v>
      </c>
      <c r="F16" s="169"/>
      <c r="G16" s="169"/>
      <c r="H16" s="169"/>
    </row>
    <row r="17" spans="1:8" x14ac:dyDescent="0.25">
      <c r="A17" s="365" t="s">
        <v>657</v>
      </c>
      <c r="B17" s="169">
        <v>0</v>
      </c>
      <c r="C17" s="169">
        <v>0</v>
      </c>
      <c r="D17" s="169">
        <f t="shared" si="0"/>
        <v>0</v>
      </c>
      <c r="E17" s="169">
        <f t="shared" si="1"/>
        <v>0</v>
      </c>
      <c r="F17" s="169"/>
      <c r="G17" s="169"/>
      <c r="H17" s="169"/>
    </row>
    <row r="18" spans="1:8" x14ac:dyDescent="0.25">
      <c r="A18" s="175" t="s">
        <v>658</v>
      </c>
      <c r="B18" s="169">
        <v>0</v>
      </c>
      <c r="C18" s="169">
        <v>0</v>
      </c>
      <c r="D18" s="169">
        <f t="shared" si="0"/>
        <v>0</v>
      </c>
      <c r="E18" s="169">
        <f t="shared" si="1"/>
        <v>0</v>
      </c>
      <c r="F18" s="169"/>
      <c r="G18" s="169"/>
      <c r="H18" s="169"/>
    </row>
    <row r="19" spans="1:8" x14ac:dyDescent="0.25">
      <c r="A19" s="312" t="s">
        <v>659</v>
      </c>
      <c r="B19" s="172">
        <f>SUM(B15:B18)</f>
        <v>0</v>
      </c>
      <c r="C19" s="172">
        <f t="shared" ref="C19:H19" si="4">SUM(C15:C18)</f>
        <v>0</v>
      </c>
      <c r="D19" s="172">
        <f t="shared" si="0"/>
        <v>0</v>
      </c>
      <c r="E19" s="172">
        <f t="shared" si="1"/>
        <v>0</v>
      </c>
      <c r="F19" s="172">
        <f t="shared" si="4"/>
        <v>0</v>
      </c>
      <c r="G19" s="172">
        <f t="shared" si="4"/>
        <v>0</v>
      </c>
      <c r="H19" s="172">
        <f t="shared" si="4"/>
        <v>0</v>
      </c>
    </row>
    <row r="20" spans="1:1" x14ac:dyDescent="0.25">
      <c r="A20" s="393"/>
    </row>
    <row r="21" spans="1:4" x14ac:dyDescent="0.25">
      <c r="A21" s="372" t="s">
        <v>612</v>
      </c>
      <c r="B21" s="186"/>
      <c r="C21" s="186"/>
      <c r="D21" s="186"/>
    </row>
    <row r="22" spans="1:4" x14ac:dyDescent="0.25">
      <c r="A22" s="379" t="s">
        <v>660</v>
      </c>
      <c r="B22" s="379"/>
      <c r="C22" s="379"/>
      <c r="D22" s="186"/>
    </row>
    <row r="23" spans="1:4" x14ac:dyDescent="0.25">
      <c r="A23" s="230" t="s">
        <v>661</v>
      </c>
      <c r="B23" s="230"/>
      <c r="C23" s="186"/>
      <c r="D23" s="186"/>
    </row>
    <row r="24" spans="1:4" x14ac:dyDescent="0.25">
      <c r="A24" s="230" t="s">
        <v>662</v>
      </c>
      <c r="B24" s="230"/>
      <c r="C24" s="230"/>
      <c r="D24" s="230"/>
    </row>
  </sheetData>
  <mergeCells count="10">
    <mergeCell ref="D6:E6"/>
    <mergeCell ref="A6:A7"/>
    <mergeCell ref="B6:B7"/>
    <mergeCell ref="C6:C7"/>
    <mergeCell ref="F6:F7"/>
    <mergeCell ref="G6:G7"/>
    <mergeCell ref="H6:H7"/>
    <mergeCell ref="A22:C22"/>
    <mergeCell ref="A23:B23"/>
    <mergeCell ref="A24:D24"/>
  </mergeCells>
  <pageMargins left="0.7" right="0.7" top="0.75" bottom="0.75" header="0.3" footer="0.3"/>
  <pageSetup paperSize="9" orientation="portrait" horizontalDpi="4294967295" verticalDpi="4294967295" scale="67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workbookViewId="0" zoomScale="100" zoomScaleNormal="100">
      <selection activeCell="D1" sqref="D1"/>
    </sheetView>
  </sheetViews>
  <sheetFormatPr defaultRowHeight="14.4" outlineLevelRow="0" outlineLevelCol="0" x14ac:dyDescent="0.3" defaultColWidth="11.44140625" customHeight="1"/>
  <cols>
    <col min="1" max="1" width="36.21875" customWidth="1"/>
    <col min="2" max="2" width="8.109375" customWidth="1"/>
    <col min="3" max="3" width="7.88671875" customWidth="1"/>
    <col min="6" max="6" width="9.5546875" customWidth="1"/>
    <col min="7" max="7" width="10.5546875" customWidth="1"/>
    <col min="8" max="8" width="10" customWidth="1"/>
  </cols>
  <sheetData>
    <row r="2" spans="1:8" x14ac:dyDescent="0.25">
      <c r="A2" s="133"/>
      <c r="B2" s="133"/>
      <c r="C2" s="133"/>
      <c r="D2" s="133"/>
      <c r="E2" s="133"/>
      <c r="F2" s="133"/>
      <c r="G2" s="133"/>
      <c r="H2" s="133"/>
    </row>
    <row r="3" spans="1:8" x14ac:dyDescent="0.25">
      <c r="A3" s="133"/>
      <c r="B3" s="133"/>
      <c r="C3" s="133"/>
      <c r="D3" s="133"/>
      <c r="E3" s="133"/>
      <c r="F3" s="133"/>
      <c r="G3" s="133"/>
      <c r="H3" s="133"/>
    </row>
    <row r="4" spans="1:8" x14ac:dyDescent="0.25">
      <c r="A4" s="133"/>
      <c r="B4" s="133"/>
      <c r="C4" s="133"/>
      <c r="D4" s="133"/>
      <c r="E4" s="133"/>
      <c r="F4" s="133"/>
      <c r="G4" s="133"/>
      <c r="H4" s="133"/>
    </row>
    <row r="5" spans="1:8" x14ac:dyDescent="0.25">
      <c r="A5" s="133"/>
      <c r="B5" s="133"/>
      <c r="C5" s="133"/>
      <c r="D5" s="133"/>
      <c r="E5" s="133"/>
      <c r="F5" s="133"/>
      <c r="G5" s="133"/>
      <c r="H5" s="133"/>
    </row>
    <row r="6" ht="3" customHeight="1" spans="1:8" x14ac:dyDescent="0.25">
      <c r="A6" s="133"/>
      <c r="B6" s="133"/>
      <c r="C6" s="133"/>
      <c r="D6" s="133"/>
      <c r="E6" s="133"/>
      <c r="F6" s="133"/>
      <c r="G6" s="133"/>
      <c r="H6" s="133"/>
    </row>
    <row r="7" ht="27.75" customHeight="1" spans="1:8" x14ac:dyDescent="0.25">
      <c r="A7" s="394" t="s">
        <v>399</v>
      </c>
      <c r="B7" s="394" t="s">
        <v>595</v>
      </c>
      <c r="C7" s="394" t="s">
        <v>596</v>
      </c>
      <c r="D7" s="395" t="s">
        <v>618</v>
      </c>
      <c r="E7" s="396"/>
      <c r="F7" s="316" t="s">
        <v>598</v>
      </c>
      <c r="G7" s="316" t="s">
        <v>599</v>
      </c>
      <c r="H7" s="316" t="s">
        <v>600</v>
      </c>
    </row>
    <row r="8" ht="47.25" customHeight="1" spans="1:8" x14ac:dyDescent="0.25">
      <c r="A8" s="397"/>
      <c r="B8" s="397"/>
      <c r="C8" s="397"/>
      <c r="D8" s="398" t="s">
        <v>619</v>
      </c>
      <c r="E8" s="398" t="s">
        <v>620</v>
      </c>
      <c r="F8" s="319"/>
      <c r="G8" s="319"/>
      <c r="H8" s="319"/>
    </row>
    <row r="9" spans="1:8" x14ac:dyDescent="0.25">
      <c r="A9" s="169" t="s">
        <v>420</v>
      </c>
      <c r="B9" s="169"/>
      <c r="C9" s="169"/>
      <c r="D9" s="169">
        <f>B9-C9</f>
        <v>0</v>
      </c>
      <c r="E9" s="169">
        <f>IF(C9=0,0,(B9-C9)/C9)*100</f>
        <v>0</v>
      </c>
      <c r="F9" s="169"/>
      <c r="G9" s="169"/>
      <c r="H9" s="169"/>
    </row>
    <row r="10" spans="1:8" x14ac:dyDescent="0.25">
      <c r="A10" s="169" t="s">
        <v>663</v>
      </c>
      <c r="B10" s="169"/>
      <c r="C10" s="169"/>
      <c r="D10" s="169">
        <f t="shared" ref="D10:D18" si="0">B10-C10</f>
        <v>0</v>
      </c>
      <c r="E10" s="169">
        <f t="shared" ref="E10:E18" si="1">IF(C10=0,0,(B10-C10)/C10)*100</f>
        <v>0</v>
      </c>
      <c r="F10" s="169"/>
      <c r="G10" s="169"/>
      <c r="H10" s="169"/>
    </row>
    <row r="11" spans="1:8" x14ac:dyDescent="0.25">
      <c r="A11" s="169" t="s">
        <v>664</v>
      </c>
      <c r="B11" s="169"/>
      <c r="C11" s="169"/>
      <c r="D11" s="169">
        <f t="shared" si="0"/>
        <v>0</v>
      </c>
      <c r="E11" s="169">
        <f t="shared" si="1"/>
        <v>0</v>
      </c>
      <c r="F11" s="169"/>
      <c r="G11" s="169"/>
      <c r="H11" s="169"/>
    </row>
    <row r="12" ht="27.6" customHeight="1" spans="1:8" x14ac:dyDescent="0.25">
      <c r="A12" s="142" t="s">
        <v>665</v>
      </c>
      <c r="B12" s="169"/>
      <c r="C12" s="169"/>
      <c r="D12" s="169">
        <f t="shared" si="0"/>
        <v>0</v>
      </c>
      <c r="E12" s="169">
        <f t="shared" si="1"/>
        <v>0</v>
      </c>
      <c r="F12" s="169"/>
      <c r="G12" s="169"/>
      <c r="H12" s="169"/>
    </row>
    <row r="13" ht="27.6" customHeight="1" spans="1:8" x14ac:dyDescent="0.25">
      <c r="A13" s="175" t="s">
        <v>424</v>
      </c>
      <c r="B13" s="174"/>
      <c r="C13" s="169"/>
      <c r="D13" s="169">
        <f t="shared" si="0"/>
        <v>0</v>
      </c>
      <c r="E13" s="169">
        <f t="shared" si="1"/>
        <v>0</v>
      </c>
      <c r="F13" s="169"/>
      <c r="G13" s="169"/>
      <c r="H13" s="169"/>
    </row>
    <row r="14" spans="1:8" x14ac:dyDescent="0.25">
      <c r="A14" s="169" t="s">
        <v>666</v>
      </c>
      <c r="B14" s="169"/>
      <c r="C14" s="169"/>
      <c r="D14" s="169">
        <f t="shared" si="0"/>
        <v>0</v>
      </c>
      <c r="E14" s="169">
        <f t="shared" si="1"/>
        <v>0</v>
      </c>
      <c r="F14" s="169"/>
      <c r="G14" s="169"/>
      <c r="H14" s="169"/>
    </row>
    <row r="15" spans="1:8" x14ac:dyDescent="0.25">
      <c r="A15" s="169" t="s">
        <v>667</v>
      </c>
      <c r="B15" s="169"/>
      <c r="C15" s="169"/>
      <c r="D15" s="169">
        <f t="shared" si="0"/>
        <v>0</v>
      </c>
      <c r="E15" s="169">
        <f t="shared" si="1"/>
        <v>0</v>
      </c>
      <c r="F15" s="169"/>
      <c r="G15" s="169"/>
      <c r="H15" s="169"/>
    </row>
    <row r="16" spans="1:8" x14ac:dyDescent="0.25">
      <c r="A16" s="205" t="s">
        <v>608</v>
      </c>
      <c r="B16" s="180">
        <f>SUM(B9:B15)</f>
        <v>0</v>
      </c>
      <c r="C16" s="180">
        <f t="shared" ref="C16:H16" si="2">SUM(C9:C15)</f>
        <v>0</v>
      </c>
      <c r="D16" s="180">
        <f t="shared" si="0"/>
        <v>0</v>
      </c>
      <c r="E16" s="180">
        <f t="shared" si="1"/>
        <v>0</v>
      </c>
      <c r="F16" s="180">
        <f t="shared" si="2"/>
        <v>0</v>
      </c>
      <c r="G16" s="180">
        <f t="shared" si="2"/>
        <v>0</v>
      </c>
      <c r="H16" s="180">
        <f t="shared" si="2"/>
        <v>0</v>
      </c>
    </row>
    <row r="17" spans="1:8" x14ac:dyDescent="0.25">
      <c r="A17" s="169" t="s">
        <v>668</v>
      </c>
      <c r="B17" s="169">
        <v>0</v>
      </c>
      <c r="C17" s="169">
        <v>0</v>
      </c>
      <c r="D17" s="169">
        <f t="shared" si="0"/>
        <v>0</v>
      </c>
      <c r="E17" s="169">
        <f t="shared" si="1"/>
        <v>0</v>
      </c>
      <c r="F17" s="399"/>
      <c r="G17" s="399"/>
      <c r="H17" s="399"/>
    </row>
    <row r="18" spans="1:8" x14ac:dyDescent="0.25">
      <c r="A18" s="400" t="s">
        <v>669</v>
      </c>
      <c r="B18" s="381">
        <f>B16-B17</f>
        <v>0</v>
      </c>
      <c r="C18" s="381">
        <f t="shared" ref="C18" si="3">C16-C17</f>
        <v>0</v>
      </c>
      <c r="D18" s="172">
        <f t="shared" si="0"/>
        <v>0</v>
      </c>
      <c r="E18" s="172">
        <f t="shared" si="1"/>
        <v>0</v>
      </c>
      <c r="F18" s="401"/>
      <c r="G18" s="401"/>
      <c r="H18" s="401"/>
    </row>
    <row r="19" spans="1:8" x14ac:dyDescent="0.25">
      <c r="A19" s="133"/>
      <c r="B19" s="133"/>
      <c r="C19" s="133"/>
      <c r="D19" s="133"/>
      <c r="E19" s="133"/>
      <c r="F19" s="133"/>
      <c r="G19" s="133"/>
      <c r="H19" s="133"/>
    </row>
    <row r="20" spans="1:8" x14ac:dyDescent="0.25">
      <c r="A20" s="299" t="s">
        <v>670</v>
      </c>
      <c r="B20" s="186"/>
      <c r="C20" s="186"/>
      <c r="D20" s="186"/>
      <c r="E20" s="186"/>
      <c r="F20" s="186"/>
      <c r="G20" s="186"/>
      <c r="H20" s="133"/>
    </row>
    <row r="21" spans="1:8" x14ac:dyDescent="0.25">
      <c r="A21" s="373" t="s">
        <v>671</v>
      </c>
      <c r="B21" s="186"/>
      <c r="C21" s="186"/>
      <c r="D21" s="186"/>
      <c r="E21" s="186"/>
      <c r="F21" s="186"/>
      <c r="G21" s="186"/>
      <c r="H21" s="133"/>
    </row>
    <row r="22" spans="1:8" x14ac:dyDescent="0.25">
      <c r="A22" s="373" t="s">
        <v>672</v>
      </c>
      <c r="B22" s="186"/>
      <c r="C22" s="186"/>
      <c r="D22" s="186"/>
      <c r="E22" s="186"/>
      <c r="F22" s="186"/>
      <c r="G22" s="186"/>
      <c r="H22" s="133"/>
    </row>
    <row r="23" spans="1:8" x14ac:dyDescent="0.25">
      <c r="A23" s="373" t="s">
        <v>673</v>
      </c>
      <c r="B23" s="186"/>
      <c r="C23" s="186"/>
      <c r="D23" s="186"/>
      <c r="E23" s="186"/>
      <c r="F23" s="186"/>
      <c r="G23" s="186"/>
      <c r="H23" s="133"/>
    </row>
    <row r="24" spans="1:8" x14ac:dyDescent="0.25">
      <c r="A24" s="373" t="s">
        <v>674</v>
      </c>
      <c r="B24" s="186"/>
      <c r="C24" s="186"/>
      <c r="D24" s="186"/>
      <c r="E24" s="186"/>
      <c r="F24" s="186"/>
      <c r="G24" s="186"/>
      <c r="H24" s="133"/>
    </row>
    <row r="25" spans="1:8" x14ac:dyDescent="0.25">
      <c r="A25" s="230"/>
      <c r="B25" s="186"/>
      <c r="C25" s="186"/>
      <c r="D25" s="186"/>
      <c r="E25" s="186"/>
      <c r="F25" s="186"/>
      <c r="G25" s="186"/>
      <c r="H25" s="133"/>
    </row>
    <row r="26" spans="1:8" x14ac:dyDescent="0.25">
      <c r="A26" s="133"/>
      <c r="B26" s="133"/>
      <c r="C26" s="133"/>
      <c r="D26" s="133"/>
      <c r="E26" s="133"/>
      <c r="F26" s="133"/>
      <c r="G26" s="133"/>
      <c r="H26" s="133"/>
    </row>
  </sheetData>
  <mergeCells count="7">
    <mergeCell ref="D7:E7"/>
    <mergeCell ref="A7:A8"/>
    <mergeCell ref="B7:B8"/>
    <mergeCell ref="C7:C8"/>
    <mergeCell ref="F7:F8"/>
    <mergeCell ref="G7:G8"/>
    <mergeCell ref="H7:H8"/>
  </mergeCells>
  <pageMargins left="0.7" right="0.7" top="0.75" bottom="0.75" header="0.3" footer="0.3"/>
  <pageSetup paperSize="9" orientation="portrait" horizontalDpi="4294967295" verticalDpi="4294967295" scale="83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5"/>
  <sheetViews>
    <sheetView workbookViewId="0" zoomScale="100" zoomScaleNormal="100">
      <selection activeCell="G16" sqref="G16"/>
    </sheetView>
  </sheetViews>
  <sheetFormatPr defaultRowHeight="14.4" outlineLevelRow="0" outlineLevelCol="0" x14ac:dyDescent="0.3" defaultColWidth="11.44140625" customHeight="1"/>
  <cols>
    <col min="1" max="1" width="42.44140625" customWidth="1"/>
  </cols>
  <sheetData>
    <row r="4" spans="1:8" x14ac:dyDescent="0.25">
      <c r="A4" s="133"/>
      <c r="B4" s="133"/>
      <c r="C4" s="133"/>
      <c r="D4" s="133"/>
      <c r="E4" s="133"/>
      <c r="F4" s="133"/>
      <c r="G4" s="133"/>
      <c r="H4" s="133"/>
    </row>
    <row r="5" spans="1:8" x14ac:dyDescent="0.25">
      <c r="A5" s="133"/>
      <c r="B5" s="133"/>
      <c r="C5" s="133"/>
      <c r="D5" s="133"/>
      <c r="E5" s="133"/>
      <c r="F5" s="133"/>
      <c r="G5" s="133"/>
      <c r="H5" s="133"/>
    </row>
    <row r="6" spans="1:8" x14ac:dyDescent="0.25">
      <c r="A6" s="402" t="s">
        <v>399</v>
      </c>
      <c r="B6" s="402" t="s">
        <v>595</v>
      </c>
      <c r="C6" s="402" t="s">
        <v>675</v>
      </c>
      <c r="D6" s="402" t="s">
        <v>618</v>
      </c>
      <c r="E6" s="402"/>
      <c r="F6" s="378"/>
      <c r="G6" s="133"/>
      <c r="H6" s="133"/>
    </row>
    <row r="7" spans="1:8" x14ac:dyDescent="0.25">
      <c r="A7" s="402"/>
      <c r="B7" s="402"/>
      <c r="C7" s="402"/>
      <c r="D7" s="402" t="s">
        <v>619</v>
      </c>
      <c r="E7" s="402" t="s">
        <v>620</v>
      </c>
      <c r="F7" s="378"/>
      <c r="G7" s="133"/>
      <c r="H7" s="133"/>
    </row>
    <row r="8" spans="1:8" x14ac:dyDescent="0.25">
      <c r="A8" s="365" t="s">
        <v>676</v>
      </c>
      <c r="B8" s="365"/>
      <c r="C8" s="365"/>
      <c r="D8" s="365">
        <f>B8-C8</f>
        <v>0</v>
      </c>
      <c r="E8" s="365">
        <f>IF(C8=0,0,(B8-C8)/C8)*100</f>
        <v>0</v>
      </c>
      <c r="F8" s="378"/>
      <c r="G8" s="133"/>
      <c r="H8" s="133"/>
    </row>
    <row r="9" spans="1:8" x14ac:dyDescent="0.25">
      <c r="A9" s="365" t="s">
        <v>677</v>
      </c>
      <c r="B9" s="175"/>
      <c r="C9" s="365"/>
      <c r="D9" s="365">
        <f t="shared" ref="D9:D17" si="0">B9-C9</f>
        <v>0</v>
      </c>
      <c r="E9" s="365">
        <f t="shared" ref="E9:E17" si="1">IF(C9=0,0,(B9-C9)/C9)*100</f>
        <v>0</v>
      </c>
      <c r="F9" s="378"/>
      <c r="G9" s="133"/>
      <c r="H9" s="133"/>
    </row>
    <row r="10" spans="1:8" x14ac:dyDescent="0.25">
      <c r="A10" s="365" t="s">
        <v>678</v>
      </c>
      <c r="B10" s="365"/>
      <c r="C10" s="365"/>
      <c r="D10" s="365">
        <f t="shared" si="0"/>
        <v>0</v>
      </c>
      <c r="E10" s="365">
        <f t="shared" si="1"/>
        <v>0</v>
      </c>
      <c r="F10" s="378"/>
      <c r="G10" s="133"/>
      <c r="H10" s="133"/>
    </row>
    <row r="11" spans="1:8" x14ac:dyDescent="0.25">
      <c r="A11" s="365" t="s">
        <v>679</v>
      </c>
      <c r="B11" s="365"/>
      <c r="C11" s="365"/>
      <c r="D11" s="365">
        <f t="shared" si="0"/>
        <v>0</v>
      </c>
      <c r="E11" s="365">
        <f t="shared" si="1"/>
        <v>0</v>
      </c>
      <c r="F11" s="378"/>
      <c r="G11" s="133"/>
      <c r="H11" s="133"/>
    </row>
    <row r="12" spans="1:8" x14ac:dyDescent="0.25">
      <c r="A12" s="365" t="s">
        <v>680</v>
      </c>
      <c r="B12" s="365"/>
      <c r="C12" s="365"/>
      <c r="D12" s="365">
        <f t="shared" si="0"/>
        <v>0</v>
      </c>
      <c r="E12" s="365">
        <f t="shared" si="1"/>
        <v>0</v>
      </c>
      <c r="F12" s="378"/>
      <c r="G12" s="133"/>
      <c r="H12" s="133"/>
    </row>
    <row r="13" spans="1:8" x14ac:dyDescent="0.25">
      <c r="A13" s="365" t="s">
        <v>681</v>
      </c>
      <c r="B13" s="365"/>
      <c r="C13" s="365"/>
      <c r="D13" s="365">
        <f t="shared" si="0"/>
        <v>0</v>
      </c>
      <c r="E13" s="365">
        <f t="shared" si="1"/>
        <v>0</v>
      </c>
      <c r="F13" s="378"/>
      <c r="G13" s="133"/>
      <c r="H13" s="133"/>
    </row>
    <row r="14" spans="1:8" x14ac:dyDescent="0.25">
      <c r="A14" s="365" t="s">
        <v>682</v>
      </c>
      <c r="B14" s="365"/>
      <c r="C14" s="365"/>
      <c r="D14" s="365">
        <f t="shared" si="0"/>
        <v>0</v>
      </c>
      <c r="E14" s="365">
        <f t="shared" si="1"/>
        <v>0</v>
      </c>
      <c r="F14" s="378"/>
      <c r="G14" s="133"/>
      <c r="H14" s="133"/>
    </row>
    <row r="15" spans="1:8" x14ac:dyDescent="0.25">
      <c r="A15" s="403" t="s">
        <v>608</v>
      </c>
      <c r="B15" s="404">
        <f>SUM(B8:B14)</f>
        <v>0</v>
      </c>
      <c r="C15" s="404">
        <f t="shared" ref="C15" si="2">SUM(C8:C14)</f>
        <v>0</v>
      </c>
      <c r="D15" s="404">
        <f t="shared" si="0"/>
        <v>0</v>
      </c>
      <c r="E15" s="404">
        <f t="shared" si="1"/>
        <v>0</v>
      </c>
      <c r="F15" s="378"/>
      <c r="G15" s="133"/>
      <c r="H15" s="133"/>
    </row>
    <row r="16" spans="1:8" x14ac:dyDescent="0.25">
      <c r="A16" s="365" t="s">
        <v>683</v>
      </c>
      <c r="B16" s="365"/>
      <c r="C16" s="365"/>
      <c r="D16" s="365">
        <f t="shared" si="0"/>
        <v>0</v>
      </c>
      <c r="E16" s="365">
        <f t="shared" si="1"/>
        <v>0</v>
      </c>
      <c r="F16" s="378"/>
      <c r="G16" s="133"/>
      <c r="H16" s="133"/>
    </row>
    <row r="17" spans="1:8" x14ac:dyDescent="0.25">
      <c r="A17" s="405" t="s">
        <v>669</v>
      </c>
      <c r="B17" s="406">
        <f>B15-B16</f>
        <v>0</v>
      </c>
      <c r="C17" s="406">
        <f t="shared" ref="C17" si="3">C15-C16</f>
        <v>0</v>
      </c>
      <c r="D17" s="406">
        <f t="shared" si="0"/>
        <v>0</v>
      </c>
      <c r="E17" s="406">
        <f t="shared" si="1"/>
        <v>0</v>
      </c>
      <c r="F17" s="378"/>
      <c r="G17" s="133"/>
      <c r="H17" s="133"/>
    </row>
    <row r="18" spans="1:8" x14ac:dyDescent="0.25">
      <c r="A18" s="378"/>
      <c r="B18" s="378"/>
      <c r="C18" s="378"/>
      <c r="D18" s="378"/>
      <c r="E18" s="378"/>
      <c r="F18" s="378"/>
      <c r="G18" s="133"/>
      <c r="H18" s="133"/>
    </row>
    <row r="19" spans="1:8" x14ac:dyDescent="0.25">
      <c r="A19" s="407" t="s">
        <v>444</v>
      </c>
      <c r="B19" s="378"/>
      <c r="C19" s="378"/>
      <c r="D19" s="378"/>
      <c r="E19" s="378"/>
      <c r="F19" s="378"/>
      <c r="G19" s="133"/>
      <c r="H19" s="133"/>
    </row>
    <row r="20" spans="1:8" x14ac:dyDescent="0.25">
      <c r="A20" s="378" t="s">
        <v>684</v>
      </c>
      <c r="B20" s="378"/>
      <c r="C20" s="378"/>
      <c r="D20" s="378"/>
      <c r="E20" s="378"/>
      <c r="F20" s="378"/>
      <c r="G20" s="133"/>
      <c r="H20" s="133"/>
    </row>
    <row r="21" ht="30.75" customHeight="1" spans="1:8" x14ac:dyDescent="0.25">
      <c r="A21" s="408" t="s">
        <v>685</v>
      </c>
      <c r="B21" s="408"/>
      <c r="C21" s="408"/>
      <c r="D21" s="408"/>
      <c r="E21" s="408"/>
      <c r="F21" s="378"/>
      <c r="G21" s="133"/>
      <c r="H21" s="133"/>
    </row>
    <row r="22" ht="28.5" customHeight="1" spans="1:8" x14ac:dyDescent="0.25">
      <c r="A22" s="408" t="s">
        <v>686</v>
      </c>
      <c r="B22" s="408"/>
      <c r="C22" s="408"/>
      <c r="D22" s="408"/>
      <c r="E22" s="408"/>
      <c r="F22" s="378"/>
      <c r="G22" s="133"/>
      <c r="H22" s="133"/>
    </row>
    <row r="23" spans="1:8" x14ac:dyDescent="0.25">
      <c r="A23" s="378" t="s">
        <v>687</v>
      </c>
      <c r="B23" s="378"/>
      <c r="C23" s="378"/>
      <c r="D23" s="378"/>
      <c r="E23" s="378"/>
      <c r="F23" s="378"/>
      <c r="G23" s="133"/>
      <c r="H23" s="133"/>
    </row>
    <row r="24" spans="1:8" x14ac:dyDescent="0.25">
      <c r="A24" s="133"/>
      <c r="B24" s="133"/>
      <c r="C24" s="133"/>
      <c r="D24" s="133"/>
      <c r="E24" s="133"/>
      <c r="F24" s="133"/>
      <c r="G24" s="133"/>
      <c r="H24" s="133"/>
    </row>
    <row r="25" spans="1:8" x14ac:dyDescent="0.25">
      <c r="A25" s="133"/>
      <c r="B25" s="133"/>
      <c r="C25" s="133"/>
      <c r="D25" s="133"/>
      <c r="E25" s="133"/>
      <c r="F25" s="133"/>
      <c r="G25" s="133"/>
      <c r="H25" s="133"/>
    </row>
  </sheetData>
  <mergeCells count="7">
    <mergeCell ref="D6:E6"/>
    <mergeCell ref="A6:A7"/>
    <mergeCell ref="B6:B7"/>
    <mergeCell ref="C6:C7"/>
    <mergeCell ref="A21:E21"/>
    <mergeCell ref="A22:E22"/>
    <mergeCell ref="A23:E23"/>
  </mergeCells>
  <pageMargins left="0.7" right="0.7" top="0.75" bottom="0.75" header="0.3" footer="0.3"/>
  <pageSetup paperSize="9" orientation="portrait" horizontalDpi="4294967295" verticalDpi="4294967295" scale="87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20"/>
  <sheetViews>
    <sheetView workbookViewId="0" zoomScale="100" zoomScaleNormal="100">
      <selection activeCell="B14" sqref="B14"/>
    </sheetView>
  </sheetViews>
  <sheetFormatPr defaultRowHeight="13.8" outlineLevelRow="0" outlineLevelCol="0" x14ac:dyDescent="0.25" defaultColWidth="11.44140625" customHeight="1"/>
  <cols>
    <col min="1" max="1" width="39.5546875" style="133" customWidth="1"/>
    <col min="2" max="2" width="13" style="133" customWidth="1"/>
    <col min="3" max="3" width="14" style="133" customWidth="1"/>
    <col min="4" max="16384" width="11.44140625" style="133" customWidth="1"/>
  </cols>
  <sheetData>
    <row r="6" spans="1:5" x14ac:dyDescent="0.25">
      <c r="A6" s="402" t="s">
        <v>399</v>
      </c>
      <c r="B6" s="402" t="s">
        <v>595</v>
      </c>
      <c r="C6" s="402" t="s">
        <v>596</v>
      </c>
      <c r="D6" s="409" t="s">
        <v>618</v>
      </c>
      <c r="E6" s="409"/>
    </row>
    <row r="7" spans="1:5" x14ac:dyDescent="0.25">
      <c r="A7" s="402"/>
      <c r="B7" s="402"/>
      <c r="C7" s="402"/>
      <c r="D7" s="409" t="s">
        <v>619</v>
      </c>
      <c r="E7" s="409" t="s">
        <v>620</v>
      </c>
    </row>
    <row r="8" spans="1:5" x14ac:dyDescent="0.25">
      <c r="A8" s="169" t="s">
        <v>688</v>
      </c>
      <c r="B8" s="169"/>
      <c r="C8" s="169"/>
      <c r="D8" s="169">
        <f>B8-C8</f>
        <v>0</v>
      </c>
      <c r="E8" s="169">
        <f>IF(C8=0,0,(B8-C8)/C8)*100</f>
        <v>0</v>
      </c>
    </row>
    <row r="9" spans="1:5" x14ac:dyDescent="0.25">
      <c r="A9" s="169" t="s">
        <v>689</v>
      </c>
      <c r="B9" s="169"/>
      <c r="C9" s="169"/>
      <c r="D9" s="169">
        <f t="shared" ref="D9:D14" si="0">B9-C9</f>
        <v>0</v>
      </c>
      <c r="E9" s="169">
        <f t="shared" ref="E9:E14" si="1">IF(C9=0,0,(B9-C9)/C9)*100</f>
        <v>0</v>
      </c>
    </row>
    <row r="10" spans="1:5" x14ac:dyDescent="0.25">
      <c r="A10" s="169" t="s">
        <v>690</v>
      </c>
      <c r="B10" s="169"/>
      <c r="C10" s="169"/>
      <c r="D10" s="169">
        <f t="shared" si="0"/>
        <v>0</v>
      </c>
      <c r="E10" s="169">
        <f t="shared" si="1"/>
        <v>0</v>
      </c>
    </row>
    <row r="11" spans="1:5" x14ac:dyDescent="0.25">
      <c r="A11" s="169" t="s">
        <v>691</v>
      </c>
      <c r="B11" s="169"/>
      <c r="C11" s="169"/>
      <c r="D11" s="169">
        <f t="shared" si="0"/>
        <v>0</v>
      </c>
      <c r="E11" s="169">
        <f t="shared" si="1"/>
        <v>0</v>
      </c>
    </row>
    <row r="12" spans="1:5" x14ac:dyDescent="0.25">
      <c r="A12" s="205" t="s">
        <v>608</v>
      </c>
      <c r="B12" s="180">
        <f>SUM(B8:B11)</f>
        <v>0</v>
      </c>
      <c r="C12" s="180">
        <f t="shared" ref="C12" si="2">SUM(C8:C11)</f>
        <v>0</v>
      </c>
      <c r="D12" s="180">
        <f t="shared" si="0"/>
        <v>0</v>
      </c>
      <c r="E12" s="180">
        <f t="shared" si="1"/>
        <v>0</v>
      </c>
    </row>
    <row r="13" spans="1:5" x14ac:dyDescent="0.25">
      <c r="A13" s="169" t="s">
        <v>692</v>
      </c>
      <c r="B13" s="169">
        <v>0</v>
      </c>
      <c r="C13" s="169">
        <v>0</v>
      </c>
      <c r="D13" s="169">
        <f t="shared" si="0"/>
        <v>0</v>
      </c>
      <c r="E13" s="169">
        <f t="shared" si="1"/>
        <v>0</v>
      </c>
    </row>
    <row r="14" spans="1:5" x14ac:dyDescent="0.25">
      <c r="A14" s="209" t="s">
        <v>669</v>
      </c>
      <c r="B14" s="172">
        <f>B12-B13</f>
        <v>0</v>
      </c>
      <c r="C14" s="172">
        <f t="shared" ref="C14" si="3">C12-C13</f>
        <v>0</v>
      </c>
      <c r="D14" s="172">
        <f t="shared" si="0"/>
        <v>0</v>
      </c>
      <c r="E14" s="172">
        <f t="shared" si="1"/>
        <v>0</v>
      </c>
    </row>
    <row r="16" spans="1:1" x14ac:dyDescent="0.25">
      <c r="A16" s="410" t="s">
        <v>444</v>
      </c>
    </row>
    <row r="17" spans="1:1" x14ac:dyDescent="0.25">
      <c r="A17" s="133" t="s">
        <v>693</v>
      </c>
    </row>
    <row r="18" spans="1:5" x14ac:dyDescent="0.25">
      <c r="A18" s="133" t="s">
        <v>694</v>
      </c>
      <c r="B18" s="133"/>
      <c r="C18" s="133"/>
      <c r="D18" s="133"/>
      <c r="E18" s="133"/>
    </row>
    <row r="20" ht="14.4" customHeight="1" x14ac:dyDescent="0.25"/>
  </sheetData>
  <mergeCells count="5">
    <mergeCell ref="D6:E6"/>
    <mergeCell ref="A6:A7"/>
    <mergeCell ref="B6:B7"/>
    <mergeCell ref="C6:C7"/>
    <mergeCell ref="A18:E18"/>
  </mergeCells>
  <pageMargins left="0.7" right="0.7" top="0.75" bottom="0.75" header="0.3" footer="0.3"/>
  <pageSetup paperSize="9" orientation="portrait" horizontalDpi="4294967295" verticalDpi="4294967295" scale="86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1"/>
  <sheetViews>
    <sheetView workbookViewId="0" zoomScale="100" zoomScaleNormal="100">
      <selection activeCell="K34" sqref="K34"/>
    </sheetView>
  </sheetViews>
  <sheetFormatPr defaultRowHeight="13.8" outlineLevelRow="0" outlineLevelCol="0" x14ac:dyDescent="0.25" defaultColWidth="11.44140625" customHeight="1"/>
  <cols>
    <col min="1" max="1" width="43.88671875" style="133" customWidth="1"/>
    <col min="2" max="4" width="11.44140625" style="133" customWidth="1"/>
    <col min="5" max="5" width="9.21875" style="133" customWidth="1"/>
    <col min="6" max="16384" width="11.44140625" style="133" customWidth="1"/>
  </cols>
  <sheetData>
    <row r="6" spans="1:5" x14ac:dyDescent="0.25">
      <c r="A6" s="341" t="s">
        <v>399</v>
      </c>
      <c r="B6" s="341" t="s">
        <v>595</v>
      </c>
      <c r="C6" s="341" t="s">
        <v>596</v>
      </c>
      <c r="D6" s="314" t="s">
        <v>618</v>
      </c>
      <c r="E6" s="314"/>
    </row>
    <row r="7" spans="1:5" x14ac:dyDescent="0.25">
      <c r="A7" s="341"/>
      <c r="B7" s="341"/>
      <c r="C7" s="341"/>
      <c r="D7" s="314" t="s">
        <v>619</v>
      </c>
      <c r="E7" s="314" t="s">
        <v>620</v>
      </c>
    </row>
    <row r="8" spans="1:5" x14ac:dyDescent="0.25">
      <c r="A8" s="169" t="s">
        <v>695</v>
      </c>
      <c r="B8" s="169">
        <v>2417077</v>
      </c>
      <c r="C8" s="169">
        <v>86376516</v>
      </c>
      <c r="D8" s="169">
        <f>B8-C8</f>
        <v>11998859</v>
      </c>
      <c r="E8" s="169">
        <f>IF(C8=0,0,(B8-C8)/C8)*100</f>
        <v>13.891344031518937</v>
      </c>
    </row>
    <row r="9" spans="1:5" x14ac:dyDescent="0.25">
      <c r="A9" s="169" t="s">
        <v>696</v>
      </c>
      <c r="B9" s="169"/>
      <c r="C9" s="169"/>
      <c r="D9" s="169">
        <f t="shared" ref="D9:D20" si="0">B9-C9</f>
        <v>0</v>
      </c>
      <c r="E9" s="169">
        <f t="shared" ref="E9:E20" si="1">IF(C9=0,0,(B9-C9)/C9)*100</f>
        <v>0</v>
      </c>
    </row>
    <row r="10" spans="1:5" x14ac:dyDescent="0.25">
      <c r="A10" s="169" t="s">
        <v>697</v>
      </c>
      <c r="B10" s="169"/>
      <c r="C10" s="169"/>
      <c r="D10" s="169">
        <f t="shared" si="0"/>
        <v>0</v>
      </c>
      <c r="E10" s="169">
        <f t="shared" si="1"/>
        <v>0</v>
      </c>
    </row>
    <row r="11" spans="1:5" x14ac:dyDescent="0.25">
      <c r="A11" s="169" t="s">
        <v>698</v>
      </c>
      <c r="B11" s="169"/>
      <c r="C11" s="169"/>
      <c r="D11" s="169">
        <f t="shared" si="0"/>
        <v>0</v>
      </c>
      <c r="E11" s="169">
        <f t="shared" si="1"/>
        <v>0</v>
      </c>
    </row>
    <row r="12" spans="1:5" x14ac:dyDescent="0.25">
      <c r="A12" s="169" t="s">
        <v>699</v>
      </c>
      <c r="B12" s="169"/>
      <c r="C12" s="169"/>
      <c r="D12" s="169">
        <f t="shared" si="0"/>
        <v>0</v>
      </c>
      <c r="E12" s="169">
        <f t="shared" si="1"/>
        <v>0</v>
      </c>
    </row>
    <row r="13" spans="1:5" x14ac:dyDescent="0.25">
      <c r="A13" s="169" t="s">
        <v>700</v>
      </c>
      <c r="B13" s="169"/>
      <c r="C13" s="169"/>
      <c r="D13" s="169">
        <f t="shared" si="0"/>
        <v>0</v>
      </c>
      <c r="E13" s="169">
        <f t="shared" si="1"/>
        <v>0</v>
      </c>
    </row>
    <row r="14" spans="1:5" x14ac:dyDescent="0.25">
      <c r="A14" s="169" t="s">
        <v>701</v>
      </c>
      <c r="B14" s="169"/>
      <c r="C14" s="169"/>
      <c r="D14" s="169">
        <f t="shared" si="0"/>
        <v>0</v>
      </c>
      <c r="E14" s="169">
        <f t="shared" si="1"/>
        <v>0</v>
      </c>
    </row>
    <row r="15" spans="1:5" x14ac:dyDescent="0.25">
      <c r="A15" s="169" t="s">
        <v>702</v>
      </c>
      <c r="B15" s="169"/>
      <c r="C15" s="169"/>
      <c r="D15" s="169">
        <f t="shared" si="0"/>
        <v>0</v>
      </c>
      <c r="E15" s="169">
        <f t="shared" si="1"/>
        <v>0</v>
      </c>
    </row>
    <row r="16" spans="1:5" x14ac:dyDescent="0.25">
      <c r="A16" s="169" t="s">
        <v>703</v>
      </c>
      <c r="B16" s="169"/>
      <c r="C16" s="169"/>
      <c r="D16" s="169">
        <f t="shared" si="0"/>
        <v>0</v>
      </c>
      <c r="E16" s="169">
        <f t="shared" si="1"/>
        <v>0</v>
      </c>
    </row>
    <row r="17" spans="1:5" x14ac:dyDescent="0.25">
      <c r="A17" s="169" t="s">
        <v>704</v>
      </c>
      <c r="B17" s="169">
        <v>374029</v>
      </c>
      <c r="C17" s="169"/>
      <c r="D17" s="169">
        <f t="shared" si="0"/>
        <v>0</v>
      </c>
      <c r="E17" s="169">
        <f t="shared" si="1"/>
        <v>0</v>
      </c>
    </row>
    <row r="18" spans="1:5" x14ac:dyDescent="0.25">
      <c r="A18" s="208" t="s">
        <v>608</v>
      </c>
      <c r="B18" s="180">
        <f>SUM(B8:B17)</f>
        <v>98375375</v>
      </c>
      <c r="C18" s="180">
        <f t="shared" ref="C18" si="2">SUM(C8:C17)</f>
        <v>86376516</v>
      </c>
      <c r="D18" s="180">
        <f t="shared" si="0"/>
        <v>11998859</v>
      </c>
      <c r="E18" s="180">
        <f t="shared" si="1"/>
        <v>13.891344031518937</v>
      </c>
    </row>
    <row r="19" spans="1:5" x14ac:dyDescent="0.25">
      <c r="A19" s="169" t="s">
        <v>705</v>
      </c>
      <c r="B19" s="169"/>
      <c r="C19" s="169"/>
      <c r="D19" s="169">
        <f t="shared" si="0"/>
        <v>0</v>
      </c>
      <c r="E19" s="169">
        <f t="shared" si="1"/>
        <v>0</v>
      </c>
    </row>
    <row r="20" spans="1:5" x14ac:dyDescent="0.25">
      <c r="A20" s="209" t="s">
        <v>669</v>
      </c>
      <c r="B20" s="172">
        <f>B18-B19</f>
        <v>98375375</v>
      </c>
      <c r="C20" s="172">
        <f t="shared" ref="C20" si="3">C18-C19</f>
        <v>86376516</v>
      </c>
      <c r="D20" s="172">
        <f t="shared" si="0"/>
        <v>11998859</v>
      </c>
      <c r="E20" s="172">
        <f t="shared" si="1"/>
        <v>13.891344031518937</v>
      </c>
    </row>
    <row r="22" ht="14.4" customHeight="1" spans="1:5" x14ac:dyDescent="0.25">
      <c r="A22" s="299" t="s">
        <v>444</v>
      </c>
      <c r="B22" s="300"/>
      <c r="C22" s="300"/>
      <c r="D22" s="300"/>
      <c r="E22" s="300"/>
    </row>
    <row r="23" spans="1:5" x14ac:dyDescent="0.25">
      <c r="A23" s="300" t="s">
        <v>706</v>
      </c>
      <c r="B23" s="300"/>
      <c r="C23" s="300"/>
      <c r="D23" s="300"/>
      <c r="E23" s="300"/>
    </row>
    <row r="24" spans="1:5" x14ac:dyDescent="0.25">
      <c r="A24" s="300" t="s">
        <v>707</v>
      </c>
      <c r="B24" s="300"/>
      <c r="C24" s="300"/>
      <c r="D24" s="300"/>
      <c r="E24" s="300"/>
    </row>
    <row r="25" spans="1:5" x14ac:dyDescent="0.25">
      <c r="A25" s="300" t="s">
        <v>708</v>
      </c>
      <c r="B25" s="300"/>
      <c r="C25" s="300"/>
      <c r="D25" s="300"/>
      <c r="E25" s="300"/>
    </row>
    <row r="26" spans="1:5" x14ac:dyDescent="0.25">
      <c r="A26" s="300" t="s">
        <v>27</v>
      </c>
      <c r="B26" s="300"/>
      <c r="C26" s="300"/>
      <c r="D26" s="300"/>
      <c r="E26" s="300"/>
    </row>
    <row r="27" spans="1:5" x14ac:dyDescent="0.25">
      <c r="A27" s="300" t="s">
        <v>27</v>
      </c>
      <c r="B27" s="300"/>
      <c r="C27" s="300"/>
      <c r="D27" s="300"/>
      <c r="E27" s="300"/>
    </row>
    <row r="28" spans="1:5" x14ac:dyDescent="0.25">
      <c r="A28" s="300"/>
      <c r="B28" s="300"/>
      <c r="C28" s="300"/>
      <c r="D28" s="300"/>
      <c r="E28" s="300"/>
    </row>
    <row r="30" ht="33" customHeight="1" spans="1:5" x14ac:dyDescent="0.25">
      <c r="A30" s="411" t="s">
        <v>709</v>
      </c>
      <c r="B30" s="411"/>
      <c r="C30" s="411"/>
      <c r="D30" s="411"/>
      <c r="E30" s="411"/>
    </row>
    <row r="31" spans="1:4" x14ac:dyDescent="0.25">
      <c r="A31" s="410"/>
      <c r="B31" s="410"/>
      <c r="C31" s="410"/>
      <c r="D31" s="410"/>
    </row>
  </sheetData>
  <mergeCells count="9">
    <mergeCell ref="D6:E6"/>
    <mergeCell ref="A6:A7"/>
    <mergeCell ref="B6:B7"/>
    <mergeCell ref="C6:C7"/>
    <mergeCell ref="A23:B23"/>
    <mergeCell ref="A24:E24"/>
    <mergeCell ref="A26:D26"/>
    <mergeCell ref="A27:E27"/>
    <mergeCell ref="A30:E3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8"/>
  <sheetViews>
    <sheetView workbookViewId="0" zoomScale="100" zoomScaleNormal="100">
      <selection activeCell="G1" sqref="G1"/>
    </sheetView>
  </sheetViews>
  <sheetFormatPr defaultRowHeight="13.8" outlineLevelRow="0" outlineLevelCol="0" x14ac:dyDescent="0.25" defaultColWidth="11.44140625" customHeight="1"/>
  <cols>
    <col min="1" max="1" width="34.77734375" style="133" customWidth="1"/>
    <col min="2" max="16384" width="11.44140625" style="133" customWidth="1"/>
  </cols>
  <sheetData>
    <row r="6" ht="41.4" customHeight="1" spans="1:6" x14ac:dyDescent="0.25">
      <c r="A6" s="341" t="s">
        <v>399</v>
      </c>
      <c r="B6" s="341" t="s">
        <v>710</v>
      </c>
      <c r="C6" s="337" t="s">
        <v>711</v>
      </c>
      <c r="D6" s="337" t="s">
        <v>712</v>
      </c>
      <c r="E6" s="337" t="s">
        <v>713</v>
      </c>
      <c r="F6" s="337" t="s">
        <v>714</v>
      </c>
    </row>
    <row r="7" ht="27.6" customHeight="1" spans="1:6" x14ac:dyDescent="0.25">
      <c r="A7" s="174" t="s">
        <v>715</v>
      </c>
      <c r="B7" s="169"/>
      <c r="C7" s="169"/>
      <c r="D7" s="174"/>
      <c r="E7" s="169"/>
      <c r="F7" s="169"/>
    </row>
    <row r="8" spans="1:6" x14ac:dyDescent="0.25">
      <c r="A8" s="169"/>
      <c r="B8" s="169"/>
      <c r="C8" s="169"/>
      <c r="D8" s="169"/>
      <c r="E8" s="169"/>
      <c r="F8" s="169"/>
    </row>
    <row r="9" spans="1:6" x14ac:dyDescent="0.25">
      <c r="A9" s="169"/>
      <c r="B9" s="169"/>
      <c r="C9" s="169"/>
      <c r="D9" s="169"/>
      <c r="E9" s="169"/>
      <c r="F9" s="169"/>
    </row>
    <row r="10" ht="27.6" customHeight="1" spans="1:6" x14ac:dyDescent="0.25">
      <c r="A10" s="174" t="s">
        <v>716</v>
      </c>
      <c r="B10" s="169"/>
      <c r="C10" s="169"/>
      <c r="D10" s="169"/>
      <c r="E10" s="169"/>
      <c r="F10" s="169"/>
    </row>
    <row r="11" spans="1:6" x14ac:dyDescent="0.25">
      <c r="A11" s="169"/>
      <c r="B11" s="169"/>
      <c r="C11" s="169"/>
      <c r="D11" s="169"/>
      <c r="E11" s="169"/>
      <c r="F11" s="169"/>
    </row>
    <row r="12" spans="1:6" x14ac:dyDescent="0.25">
      <c r="A12" s="169"/>
      <c r="B12" s="169"/>
      <c r="C12" s="169"/>
      <c r="D12" s="169"/>
      <c r="E12" s="169"/>
      <c r="F12" s="169"/>
    </row>
    <row r="13" spans="1:6" x14ac:dyDescent="0.25">
      <c r="A13" s="169"/>
      <c r="B13" s="169"/>
      <c r="C13" s="169"/>
      <c r="D13" s="169"/>
      <c r="E13" s="169"/>
      <c r="F13" s="169"/>
    </row>
    <row r="14" spans="1:6" x14ac:dyDescent="0.25">
      <c r="A14" s="169"/>
      <c r="B14" s="169"/>
      <c r="C14" s="169"/>
      <c r="D14" s="169"/>
      <c r="E14" s="169"/>
      <c r="F14" s="169"/>
    </row>
    <row r="16" ht="14.4" customHeight="1" spans="1:1" x14ac:dyDescent="0.25">
      <c r="A16" s="300" t="s">
        <v>717</v>
      </c>
    </row>
    <row r="17" spans="1:1" x14ac:dyDescent="0.25">
      <c r="A17" s="300" t="s">
        <v>718</v>
      </c>
    </row>
    <row r="18" spans="1:1" x14ac:dyDescent="0.25">
      <c r="A18" s="300" t="s">
        <v>719</v>
      </c>
    </row>
  </sheetData>
  <pageMargins left="0.7" right="0.7" top="0.75" bottom="0.75" header="0.3" footer="0.3"/>
  <pageSetup paperSize="9" orientation="portrait" horizontalDpi="4294967295" verticalDpi="4294967295" scale="69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40"/>
  <sheetViews>
    <sheetView workbookViewId="0" zoomScale="100" zoomScaleNormal="100">
      <selection activeCell="C1" sqref="C1"/>
    </sheetView>
  </sheetViews>
  <sheetFormatPr defaultRowHeight="13.8" outlineLevelRow="0" outlineLevelCol="0" x14ac:dyDescent="0.25" defaultColWidth="11.44140625" customHeight="1"/>
  <cols>
    <col min="1" max="1" width="30.109375" style="133" customWidth="1"/>
    <col min="2" max="2" width="16.44140625" style="133" customWidth="1"/>
    <col min="3" max="3" width="11.44140625" style="133" customWidth="1"/>
    <col min="4" max="4" width="17.5546875" style="133" customWidth="1"/>
    <col min="5" max="16384" width="11.44140625" style="133" customWidth="1"/>
  </cols>
  <sheetData>
    <row r="6" ht="41.4" customHeight="1" spans="1:4" x14ac:dyDescent="0.25">
      <c r="A6" s="341" t="s">
        <v>720</v>
      </c>
      <c r="B6" s="341" t="s">
        <v>721</v>
      </c>
      <c r="C6" s="341" t="s">
        <v>722</v>
      </c>
      <c r="D6" s="337" t="s">
        <v>723</v>
      </c>
    </row>
    <row r="7" spans="1:4" x14ac:dyDescent="0.25">
      <c r="A7" s="204" t="s">
        <v>724</v>
      </c>
      <c r="B7" s="169"/>
      <c r="C7" s="169"/>
      <c r="D7" s="169"/>
    </row>
    <row r="8" spans="1:4" x14ac:dyDescent="0.25">
      <c r="A8" s="169"/>
      <c r="B8" s="169"/>
      <c r="C8" s="169"/>
      <c r="D8" s="169"/>
    </row>
    <row r="9" spans="1:4" x14ac:dyDescent="0.25">
      <c r="A9" s="169"/>
      <c r="B9" s="169"/>
      <c r="C9" s="169"/>
      <c r="D9" s="169"/>
    </row>
    <row r="10" spans="1:4" x14ac:dyDescent="0.25">
      <c r="A10" s="169"/>
      <c r="B10" s="169"/>
      <c r="C10" s="169"/>
      <c r="D10" s="169"/>
    </row>
    <row r="11" spans="1:4" x14ac:dyDescent="0.25">
      <c r="A11" s="169"/>
      <c r="B11" s="169"/>
      <c r="C11" s="169"/>
      <c r="D11" s="169"/>
    </row>
    <row r="12" spans="1:4" x14ac:dyDescent="0.25">
      <c r="A12" s="169"/>
      <c r="B12" s="169"/>
      <c r="C12" s="169"/>
      <c r="D12" s="169"/>
    </row>
    <row r="13" spans="1:4" x14ac:dyDescent="0.25">
      <c r="A13" s="169"/>
      <c r="B13" s="169"/>
      <c r="C13" s="169"/>
      <c r="D13" s="169"/>
    </row>
    <row r="14" spans="1:4" x14ac:dyDescent="0.25">
      <c r="A14" s="169"/>
      <c r="B14" s="169"/>
      <c r="C14" s="169"/>
      <c r="D14" s="169"/>
    </row>
    <row r="15" spans="1:4" x14ac:dyDescent="0.25">
      <c r="A15" s="169"/>
      <c r="B15" s="169"/>
      <c r="C15" s="169"/>
      <c r="D15" s="169"/>
    </row>
    <row r="16" spans="1:4" x14ac:dyDescent="0.25">
      <c r="A16" s="169"/>
      <c r="B16" s="169"/>
      <c r="C16" s="169"/>
      <c r="D16" s="169"/>
    </row>
    <row r="17" spans="1:4" x14ac:dyDescent="0.25">
      <c r="A17" s="204" t="s">
        <v>55</v>
      </c>
      <c r="B17" s="169"/>
      <c r="C17" s="169"/>
      <c r="D17" s="412"/>
    </row>
    <row r="18" spans="1:4" x14ac:dyDescent="0.25">
      <c r="A18" s="169"/>
      <c r="B18" s="169"/>
      <c r="C18" s="169"/>
      <c r="D18" s="412"/>
    </row>
    <row r="19" spans="1:4" x14ac:dyDescent="0.25">
      <c r="A19" s="169"/>
      <c r="B19" s="169"/>
      <c r="C19" s="169"/>
      <c r="D19" s="412"/>
    </row>
    <row r="20" spans="1:4" x14ac:dyDescent="0.25">
      <c r="A20" s="169"/>
      <c r="B20" s="169"/>
      <c r="C20" s="169"/>
      <c r="D20" s="412"/>
    </row>
    <row r="21" spans="1:4" x14ac:dyDescent="0.25">
      <c r="A21" s="169"/>
      <c r="B21" s="169"/>
      <c r="C21" s="169"/>
      <c r="D21" s="412"/>
    </row>
    <row r="22" spans="1:4" x14ac:dyDescent="0.25">
      <c r="A22" s="169"/>
      <c r="B22" s="169"/>
      <c r="C22" s="169"/>
      <c r="D22" s="412"/>
    </row>
    <row r="23" spans="1:4" x14ac:dyDescent="0.25">
      <c r="A23" s="169"/>
      <c r="B23" s="169"/>
      <c r="C23" s="169"/>
      <c r="D23" s="412"/>
    </row>
    <row r="24" spans="1:4" x14ac:dyDescent="0.25">
      <c r="A24" s="169"/>
      <c r="B24" s="169"/>
      <c r="C24" s="169"/>
      <c r="D24" s="412"/>
    </row>
    <row r="25" spans="1:4" x14ac:dyDescent="0.25">
      <c r="A25" s="169"/>
      <c r="B25" s="169"/>
      <c r="C25" s="169"/>
      <c r="D25" s="412"/>
    </row>
    <row r="26" spans="1:4" x14ac:dyDescent="0.25">
      <c r="A26" s="169"/>
      <c r="B26" s="169"/>
      <c r="C26" s="169"/>
      <c r="D26" s="412"/>
    </row>
    <row r="27" spans="1:4" x14ac:dyDescent="0.25">
      <c r="A27" s="169"/>
      <c r="B27" s="169"/>
      <c r="C27" s="169"/>
      <c r="D27" s="412"/>
    </row>
    <row r="28" spans="1:4" x14ac:dyDescent="0.25">
      <c r="A28" s="204" t="s">
        <v>59</v>
      </c>
      <c r="B28" s="169"/>
      <c r="C28" s="169"/>
      <c r="D28" s="412"/>
    </row>
    <row r="29" spans="1:4" x14ac:dyDescent="0.25">
      <c r="A29" s="169"/>
      <c r="B29" s="169"/>
      <c r="C29" s="169"/>
      <c r="D29" s="412"/>
    </row>
    <row r="30" spans="1:4" x14ac:dyDescent="0.25">
      <c r="A30" s="169"/>
      <c r="B30" s="169"/>
      <c r="C30" s="169"/>
      <c r="D30" s="412"/>
    </row>
    <row r="31" spans="1:4" x14ac:dyDescent="0.25">
      <c r="A31" s="169"/>
      <c r="B31" s="169"/>
      <c r="C31" s="169"/>
      <c r="D31" s="412"/>
    </row>
    <row r="32" spans="1:4" x14ac:dyDescent="0.25">
      <c r="A32" s="169"/>
      <c r="B32" s="169"/>
      <c r="C32" s="169"/>
      <c r="D32" s="412"/>
    </row>
    <row r="33" spans="1:4" x14ac:dyDescent="0.25">
      <c r="A33" s="169"/>
      <c r="B33" s="169"/>
      <c r="C33" s="169"/>
      <c r="D33" s="412"/>
    </row>
    <row r="34" spans="1:4" x14ac:dyDescent="0.25">
      <c r="A34" s="169"/>
      <c r="B34" s="169"/>
      <c r="C34" s="169"/>
      <c r="D34" s="412"/>
    </row>
    <row r="35" spans="1:4" x14ac:dyDescent="0.25">
      <c r="A35" s="169"/>
      <c r="B35" s="169"/>
      <c r="C35" s="169"/>
      <c r="D35" s="412"/>
    </row>
    <row r="36" spans="1:4" x14ac:dyDescent="0.25">
      <c r="A36" s="169"/>
      <c r="B36" s="169"/>
      <c r="C36" s="169"/>
      <c r="D36" s="412"/>
    </row>
    <row r="37" spans="1:4" x14ac:dyDescent="0.25">
      <c r="A37" s="169"/>
      <c r="B37" s="169"/>
      <c r="C37" s="169"/>
      <c r="D37" s="412"/>
    </row>
    <row r="38" spans="1:4" x14ac:dyDescent="0.25">
      <c r="A38" s="169"/>
      <c r="B38" s="169"/>
      <c r="C38" s="169"/>
      <c r="D38" s="412"/>
    </row>
    <row r="39" spans="1:4" x14ac:dyDescent="0.25">
      <c r="A39" s="209" t="s">
        <v>435</v>
      </c>
      <c r="B39" s="207"/>
      <c r="C39" s="180"/>
      <c r="D39" s="180"/>
    </row>
    <row r="40" spans="1:1" x14ac:dyDescent="0.25">
      <c r="A40" s="410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5"/>
  <sheetViews>
    <sheetView workbookViewId="0" zoomScale="100" zoomScaleNormal="100">
      <selection activeCell="E24" sqref="E24"/>
    </sheetView>
  </sheetViews>
  <sheetFormatPr defaultRowHeight="13.8" outlineLevelRow="0" outlineLevelCol="0" x14ac:dyDescent="0.25" defaultColWidth="11.44140625" customHeight="1"/>
  <cols>
    <col min="1" max="1" width="39" style="133" customWidth="1"/>
    <col min="2" max="2" width="12.109375" style="133" customWidth="1"/>
    <col min="3" max="3" width="12.5546875" style="133" customWidth="1"/>
    <col min="4" max="16384" width="11.44140625" style="133" customWidth="1"/>
  </cols>
  <sheetData>
    <row r="6" spans="1:5" x14ac:dyDescent="0.25">
      <c r="A6" s="153" t="s">
        <v>399</v>
      </c>
      <c r="B6" s="153" t="s">
        <v>595</v>
      </c>
      <c r="C6" s="153" t="s">
        <v>596</v>
      </c>
      <c r="D6" s="153" t="s">
        <v>618</v>
      </c>
      <c r="E6" s="153"/>
    </row>
    <row r="7" spans="1:5" x14ac:dyDescent="0.25">
      <c r="A7" s="153"/>
      <c r="B7" s="153"/>
      <c r="C7" s="153"/>
      <c r="D7" s="153" t="s">
        <v>725</v>
      </c>
      <c r="E7" s="153" t="s">
        <v>620</v>
      </c>
    </row>
    <row r="8" spans="1:5" x14ac:dyDescent="0.25">
      <c r="A8" s="169" t="s">
        <v>726</v>
      </c>
      <c r="B8" s="169">
        <v>0</v>
      </c>
      <c r="C8" s="169">
        <v>0</v>
      </c>
      <c r="D8" s="169">
        <f>B8-C8</f>
        <v>0</v>
      </c>
      <c r="E8" s="169">
        <f>IF(C8=0,0,(B8-C8)/C8)*100</f>
        <v>0</v>
      </c>
    </row>
    <row r="9" spans="1:5" x14ac:dyDescent="0.25">
      <c r="A9" s="169" t="s">
        <v>727</v>
      </c>
      <c r="B9" s="169">
        <v>0</v>
      </c>
      <c r="C9" s="169">
        <v>0</v>
      </c>
      <c r="D9" s="169">
        <f t="shared" ref="D9:D10" si="0">B9-C9</f>
        <v>0</v>
      </c>
      <c r="E9" s="169">
        <f t="shared" ref="E9:E10" si="1">IF(C9=0,0,(B9-C9)/C9)*100</f>
        <v>0</v>
      </c>
    </row>
    <row r="10" spans="1:5" x14ac:dyDescent="0.25">
      <c r="A10" s="209" t="s">
        <v>728</v>
      </c>
      <c r="B10" s="172">
        <f>SUM(B8:B9)</f>
        <v>0</v>
      </c>
      <c r="C10" s="172">
        <f t="shared" ref="C10" si="2">SUM(C8:C9)</f>
        <v>0</v>
      </c>
      <c r="D10" s="172">
        <f t="shared" si="0"/>
        <v>0</v>
      </c>
      <c r="E10" s="172">
        <f t="shared" si="1"/>
        <v>0</v>
      </c>
    </row>
    <row r="11" spans="1:5" x14ac:dyDescent="0.25">
      <c r="A11" s="169" t="s">
        <v>729</v>
      </c>
      <c r="B11" s="169">
        <v>2048134</v>
      </c>
      <c r="C11" s="169">
        <v>55859517</v>
      </c>
      <c r="D11" s="169"/>
      <c r="E11" s="169"/>
    </row>
    <row r="13" ht="14.4" customHeight="1" spans="1:1" x14ac:dyDescent="0.25">
      <c r="A13" s="413" t="s">
        <v>444</v>
      </c>
    </row>
    <row r="14" ht="39.75" customHeight="1" spans="1:6" x14ac:dyDescent="0.25">
      <c r="A14" s="414" t="s">
        <v>730</v>
      </c>
      <c r="B14" s="414"/>
      <c r="C14" s="414"/>
      <c r="D14" s="414"/>
      <c r="E14" s="414"/>
      <c r="F14" s="414"/>
    </row>
    <row r="15" ht="14.4" customHeight="1" spans="1:1" x14ac:dyDescent="0.25">
      <c r="A15" s="133" t="s">
        <v>731</v>
      </c>
    </row>
  </sheetData>
  <mergeCells count="5">
    <mergeCell ref="D6:E6"/>
    <mergeCell ref="A6:A7"/>
    <mergeCell ref="B6:B7"/>
    <mergeCell ref="C6:C7"/>
    <mergeCell ref="A14:F14"/>
  </mergeCells>
  <pageMargins left="0.7" right="0.7" top="0.75" bottom="0.75" header="0.3" footer="0.3"/>
  <pageSetup paperSize="9" orientation="portrait" horizontalDpi="4294967295" verticalDpi="4294967295" scale="89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26"/>
  <sheetViews>
    <sheetView workbookViewId="0" zoomScale="100" zoomScaleNormal="100">
      <selection activeCell="E1" sqref="E1"/>
    </sheetView>
  </sheetViews>
  <sheetFormatPr defaultRowHeight="13.8" outlineLevelRow="0" outlineLevelCol="0" x14ac:dyDescent="0.25" defaultColWidth="11.44140625" customHeight="1"/>
  <cols>
    <col min="1" max="1" width="45.88671875" style="133" customWidth="1"/>
    <col min="2" max="2" width="10.44140625" style="133" customWidth="1"/>
    <col min="3" max="3" width="11.44140625" style="133" customWidth="1"/>
    <col min="4" max="4" width="8.109375" style="133" customWidth="1"/>
    <col min="5" max="5" width="10.77734375" style="133" customWidth="1"/>
    <col min="6" max="6" width="8.44140625" style="133" customWidth="1"/>
    <col min="7" max="7" width="8.77734375" style="133" customWidth="1"/>
    <col min="8" max="16384" width="11.44140625" style="133" customWidth="1"/>
  </cols>
  <sheetData>
    <row r="6" ht="29.25" customHeight="1" spans="1:8" x14ac:dyDescent="0.25">
      <c r="A6" s="153" t="s">
        <v>399</v>
      </c>
      <c r="B6" s="153" t="s">
        <v>37</v>
      </c>
      <c r="C6" s="153" t="s">
        <v>595</v>
      </c>
      <c r="D6" s="152" t="s">
        <v>596</v>
      </c>
      <c r="E6" s="159" t="s">
        <v>618</v>
      </c>
      <c r="F6" s="160"/>
      <c r="G6" s="152" t="s">
        <v>732</v>
      </c>
      <c r="H6" s="153" t="s">
        <v>733</v>
      </c>
    </row>
    <row r="7" ht="35.25" customHeight="1" spans="1:8" x14ac:dyDescent="0.25">
      <c r="A7" s="153"/>
      <c r="B7" s="153"/>
      <c r="C7" s="153"/>
      <c r="D7" s="152"/>
      <c r="E7" s="153" t="s">
        <v>725</v>
      </c>
      <c r="F7" s="153" t="s">
        <v>620</v>
      </c>
      <c r="G7" s="152"/>
      <c r="H7" s="153"/>
    </row>
    <row r="8" spans="1:8" x14ac:dyDescent="0.25">
      <c r="A8" s="169" t="s">
        <v>734</v>
      </c>
      <c r="B8" s="169"/>
      <c r="C8" s="169">
        <v>0</v>
      </c>
      <c r="D8" s="169">
        <v>0</v>
      </c>
      <c r="E8" s="169">
        <f>C8-D8</f>
        <v>0</v>
      </c>
      <c r="F8" s="169">
        <f>IF(D8=0,0,(C8-D8)/D8)*100</f>
        <v>0</v>
      </c>
      <c r="G8" s="169"/>
      <c r="H8" s="169"/>
    </row>
    <row r="9" spans="1:8" x14ac:dyDescent="0.25">
      <c r="A9" s="169" t="s">
        <v>735</v>
      </c>
      <c r="B9" s="169"/>
      <c r="C9" s="169">
        <v>0</v>
      </c>
      <c r="D9" s="169">
        <v>0</v>
      </c>
      <c r="E9" s="169">
        <f t="shared" ref="E9:E20" si="0">C9-D9</f>
        <v>0</v>
      </c>
      <c r="F9" s="169">
        <f t="shared" ref="F9:F20" si="1">IF(D9=0,0,(C9-D9)/D9)*100</f>
        <v>0</v>
      </c>
      <c r="G9" s="169"/>
      <c r="H9" s="169"/>
    </row>
    <row r="10" spans="1:8" x14ac:dyDescent="0.25">
      <c r="A10" s="169" t="s">
        <v>736</v>
      </c>
      <c r="B10" s="169"/>
      <c r="C10" s="169">
        <v>0</v>
      </c>
      <c r="D10" s="169">
        <v>0</v>
      </c>
      <c r="E10" s="169">
        <f t="shared" si="0"/>
        <v>0</v>
      </c>
      <c r="F10" s="169">
        <f t="shared" si="1"/>
        <v>0</v>
      </c>
      <c r="G10" s="169"/>
      <c r="H10" s="169"/>
    </row>
    <row r="11" spans="1:8" x14ac:dyDescent="0.25">
      <c r="A11" s="169" t="s">
        <v>737</v>
      </c>
      <c r="B11" s="169"/>
      <c r="C11" s="169">
        <v>0</v>
      </c>
      <c r="D11" s="169">
        <v>0</v>
      </c>
      <c r="E11" s="169">
        <f t="shared" si="0"/>
        <v>0</v>
      </c>
      <c r="F11" s="169">
        <f t="shared" si="1"/>
        <v>0</v>
      </c>
      <c r="G11" s="169"/>
      <c r="H11" s="169"/>
    </row>
    <row r="12" spans="1:8" x14ac:dyDescent="0.25">
      <c r="A12" s="169" t="s">
        <v>738</v>
      </c>
      <c r="B12" s="169"/>
      <c r="C12" s="169">
        <v>0</v>
      </c>
      <c r="D12" s="169">
        <v>0</v>
      </c>
      <c r="E12" s="169">
        <f t="shared" si="0"/>
        <v>0</v>
      </c>
      <c r="F12" s="169">
        <f t="shared" si="1"/>
        <v>0</v>
      </c>
      <c r="G12" s="169"/>
      <c r="H12" s="169"/>
    </row>
    <row r="13" spans="1:8" x14ac:dyDescent="0.25">
      <c r="A13" s="169" t="s">
        <v>739</v>
      </c>
      <c r="B13" s="169"/>
      <c r="C13" s="169">
        <v>0</v>
      </c>
      <c r="D13" s="168">
        <v>0</v>
      </c>
      <c r="E13" s="169">
        <f t="shared" si="0"/>
        <v>0</v>
      </c>
      <c r="F13" s="169">
        <f t="shared" si="1"/>
        <v>0</v>
      </c>
      <c r="G13" s="169"/>
      <c r="H13" s="169"/>
    </row>
    <row r="14" spans="1:8" x14ac:dyDescent="0.25">
      <c r="A14" s="169" t="s">
        <v>740</v>
      </c>
      <c r="B14" s="169"/>
      <c r="C14" s="169">
        <v>0</v>
      </c>
      <c r="D14" s="169">
        <v>0</v>
      </c>
      <c r="E14" s="169">
        <f t="shared" si="0"/>
        <v>0</v>
      </c>
      <c r="F14" s="169">
        <f t="shared" si="1"/>
        <v>0</v>
      </c>
      <c r="G14" s="169"/>
      <c r="H14" s="169"/>
    </row>
    <row r="15" spans="1:8" x14ac:dyDescent="0.25">
      <c r="A15" s="169" t="s">
        <v>741</v>
      </c>
      <c r="B15" s="169"/>
      <c r="C15" s="169">
        <v>0</v>
      </c>
      <c r="D15" s="169">
        <v>0</v>
      </c>
      <c r="E15" s="169">
        <f t="shared" si="0"/>
        <v>0</v>
      </c>
      <c r="F15" s="169">
        <f t="shared" si="1"/>
        <v>0</v>
      </c>
      <c r="G15" s="169"/>
      <c r="H15" s="169"/>
    </row>
    <row r="16" spans="1:8" x14ac:dyDescent="0.25">
      <c r="A16" s="205" t="s">
        <v>742</v>
      </c>
      <c r="B16" s="180"/>
      <c r="C16" s="180">
        <v>0</v>
      </c>
      <c r="D16" s="180">
        <v>0</v>
      </c>
      <c r="E16" s="180">
        <f t="shared" si="0"/>
        <v>0</v>
      </c>
      <c r="F16" s="180">
        <f t="shared" si="1"/>
        <v>0</v>
      </c>
      <c r="G16" s="207"/>
      <c r="H16" s="207"/>
    </row>
    <row r="17" spans="1:8" x14ac:dyDescent="0.25">
      <c r="A17" s="169"/>
      <c r="B17" s="169"/>
      <c r="C17" s="169"/>
      <c r="D17" s="169"/>
      <c r="E17" s="169"/>
      <c r="F17" s="169"/>
      <c r="G17" s="169"/>
      <c r="H17" s="169"/>
    </row>
    <row r="18" spans="1:8" x14ac:dyDescent="0.25">
      <c r="A18" s="205" t="s">
        <v>743</v>
      </c>
      <c r="B18" s="180"/>
      <c r="C18" s="180"/>
      <c r="D18" s="180"/>
      <c r="E18" s="180"/>
      <c r="F18" s="180"/>
      <c r="G18" s="207"/>
      <c r="H18" s="207"/>
    </row>
    <row r="19" spans="1:8" x14ac:dyDescent="0.25">
      <c r="A19" s="169"/>
      <c r="B19" s="169"/>
      <c r="C19" s="169"/>
      <c r="D19" s="169"/>
      <c r="E19" s="169"/>
      <c r="F19" s="169"/>
      <c r="G19" s="169"/>
      <c r="H19" s="169"/>
    </row>
    <row r="20" ht="27.6" customHeight="1" spans="1:8" x14ac:dyDescent="0.25">
      <c r="A20" s="415" t="s">
        <v>744</v>
      </c>
      <c r="B20" s="176"/>
      <c r="C20" s="172">
        <f>C16+C18</f>
        <v>0</v>
      </c>
      <c r="D20" s="172">
        <f t="shared" ref="D20" si="2">D16+D18</f>
        <v>0</v>
      </c>
      <c r="E20" s="172">
        <f t="shared" si="0"/>
        <v>0</v>
      </c>
      <c r="F20" s="172">
        <f t="shared" si="1"/>
        <v>0</v>
      </c>
      <c r="G20" s="416"/>
      <c r="H20" s="416"/>
    </row>
    <row r="23" spans="1:1" x14ac:dyDescent="0.25">
      <c r="A23" s="417" t="s">
        <v>471</v>
      </c>
    </row>
    <row r="24" spans="1:4" x14ac:dyDescent="0.25">
      <c r="A24" s="133" t="s">
        <v>745</v>
      </c>
      <c r="B24" s="133"/>
      <c r="C24" s="133"/>
      <c r="D24" s="133"/>
    </row>
    <row r="25" spans="1:4" x14ac:dyDescent="0.25">
      <c r="A25" s="133" t="s">
        <v>746</v>
      </c>
      <c r="B25" s="133"/>
      <c r="C25" s="133"/>
      <c r="D25" s="133"/>
    </row>
    <row r="26" spans="1:4" x14ac:dyDescent="0.25">
      <c r="A26" s="133" t="s">
        <v>747</v>
      </c>
      <c r="B26" s="133"/>
      <c r="C26" s="133"/>
      <c r="D26" s="133"/>
    </row>
  </sheetData>
  <mergeCells count="10">
    <mergeCell ref="E6:F6"/>
    <mergeCell ref="A6:A7"/>
    <mergeCell ref="B6:B7"/>
    <mergeCell ref="C6:C7"/>
    <mergeCell ref="D6:D7"/>
    <mergeCell ref="G6:G7"/>
    <mergeCell ref="H6:H7"/>
    <mergeCell ref="A24:D24"/>
    <mergeCell ref="A25:D25"/>
    <mergeCell ref="A26:D26"/>
  </mergeCells>
  <pageMargins left="0.7" right="0.7" top="0.75" bottom="0.75" header="0.3" footer="0.3"/>
  <pageSetup paperSize="9" orientation="portrait" horizontalDpi="4294967295" verticalDpi="4294967295" scale="69" fitToWidth="1" fitToHeight="1" firstPageNumber="1" useFirstPageNumber="1" copies="1"/>
</worksheet>
</file>

<file path=xl/worksheets/sheet30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6:F27"/>
  <sheetViews>
    <sheetView workbookViewId="0" zoomScale="100" zoomScaleNormal="100">
      <selection activeCell="F1" sqref="F1"/>
    </sheetView>
  </sheetViews>
  <sheetFormatPr defaultRowHeight="13.8" outlineLevelRow="0" outlineLevelCol="0" ns2:dyDescent="0.25" defaultColWidth="11.44140625" customHeight="1"/>
  <cols>
    <col min="1" max="1" width="43.77734375" style="133" customWidth="1"/>
    <col min="2" max="2" width="8.77734375" style="133" customWidth="1"/>
    <col min="3" max="3" width="11.44140625" style="133" customWidth="1"/>
    <col min="4" max="4" width="8.88671875" style="133" customWidth="1"/>
    <col min="5" max="16384" width="11.44140625" style="133" customWidth="1"/>
  </cols>
  <sheetData>
    <row r="6" spans="1:6" ns2:dyDescent="0.25">
      <c r="A6" s="327" t="s">
        <v>399</v>
      </c>
      <c r="B6" s="327" t="s">
        <v>37</v>
      </c>
      <c r="C6" s="327" t="s">
        <v>595</v>
      </c>
      <c r="D6" s="316" t="s">
        <v>596</v>
      </c>
      <c r="E6" s="335" t="s">
        <v>618</v>
      </c>
      <c r="F6" s="336"/>
    </row>
    <row r="7" spans="1:6" ns2:dyDescent="0.25">
      <c r="A7" s="331"/>
      <c r="B7" s="331"/>
      <c r="C7" s="331"/>
      <c r="D7" s="319"/>
      <c r="E7" s="341" t="s">
        <v>725</v>
      </c>
      <c r="F7" s="341" t="s">
        <v>620</v>
      </c>
    </row>
    <row r="8" spans="1:6" ns2:dyDescent="0.25">
      <c r="A8" s="169" t="s">
        <v>748</v>
      </c>
      <c r="B8" s="169"/>
      <c r="C8" s="169">
        <v>0</v>
      </c>
      <c r="D8" s="169">
        <v>0</v>
      </c>
      <c r="E8" s="169">
        <f>C8-D8</f>
        <v>0</v>
      </c>
      <c r="F8" s="169">
        <f>IF(D8=0,0,(C8-D8)/D8)*100</f>
        <v>0</v>
      </c>
    </row>
    <row r="9" ht="27.6" customHeight="1" spans="1:6" ns2:dyDescent="0.25">
      <c r="A9" s="174" t="s">
        <v>749</v>
      </c>
      <c r="B9" s="169">
        <v>0</v>
      </c>
      <c r="C9" s="169">
        <v>21668078</v>
      </c>
      <c r="D9" s="169">
        <v>0</v>
      </c>
      <c r="E9" s="169">
        <f t="shared" ref="E9:E17" si="0">C9-D9</f>
        <v>0</v>
      </c>
      <c r="F9" s="169">
        <f t="shared" ref="F9:F17" si="1">IF(D9=0,0,(C9-D9)/D9)*100</f>
        <v>0</v>
      </c>
    </row>
    <row r="10" spans="1:6" ns2:dyDescent="0.25">
      <c r="A10" s="169" t="s">
        <v>750</v>
      </c>
      <c r="B10" s="169"/>
      <c r="C10" s="169">
        <v>0</v>
      </c>
      <c r="D10" s="169">
        <v>0</v>
      </c>
      <c r="E10" s="169">
        <f t="shared" si="0"/>
        <v>0</v>
      </c>
      <c r="F10" s="169">
        <f t="shared" si="1"/>
        <v>0</v>
      </c>
    </row>
    <row r="11" spans="1:6" ns2:dyDescent="0.25">
      <c r="A11" s="169" t="s">
        <v>751</v>
      </c>
      <c r="B11" s="169"/>
      <c r="C11" s="169">
        <v>0</v>
      </c>
      <c r="D11" s="169">
        <v>0</v>
      </c>
      <c r="E11" s="169">
        <f t="shared" si="0"/>
        <v>0</v>
      </c>
      <c r="F11" s="169">
        <f t="shared" si="1"/>
        <v>0</v>
      </c>
    </row>
    <row r="12" spans="1:6" ns2:dyDescent="0.25">
      <c r="A12" s="181" t="s">
        <v>752</v>
      </c>
      <c r="B12" s="180"/>
      <c r="C12" s="180">
        <f>SUM(C8:C11)</f>
        <v>0</v>
      </c>
      <c r="D12" s="180">
        <f t="shared" ref="D12" si="2">SUM(D8:D11)</f>
        <v>0</v>
      </c>
      <c r="E12" s="180">
        <f t="shared" si="0"/>
        <v>0</v>
      </c>
      <c r="F12" s="180">
        <f t="shared" si="1"/>
        <v>0</v>
      </c>
    </row>
    <row r="13" ht="27.6" customHeight="1" spans="1:6" ns2:dyDescent="0.25">
      <c r="A13" s="174" t="s">
        <v>753</v>
      </c>
      <c r="B13" s="169"/>
      <c r="C13" s="169">
        <v>0</v>
      </c>
      <c r="D13" s="169">
        <v>0</v>
      </c>
      <c r="E13" s="169">
        <f t="shared" si="0"/>
        <v>0</v>
      </c>
      <c r="F13" s="169">
        <f t="shared" si="1"/>
        <v>0</v>
      </c>
    </row>
    <row r="14" spans="1:6" ns2:dyDescent="0.25">
      <c r="A14" s="169" t="s">
        <v>754</v>
      </c>
      <c r="B14" s="169"/>
      <c r="C14" s="169">
        <v>0</v>
      </c>
      <c r="D14" s="169">
        <v>0</v>
      </c>
      <c r="E14" s="169">
        <f t="shared" si="0"/>
        <v>0</v>
      </c>
      <c r="F14" s="169">
        <f t="shared" si="1"/>
        <v>0</v>
      </c>
    </row>
    <row r="15" spans="1:6" ns2:dyDescent="0.25">
      <c r="A15" s="169" t="s">
        <v>755</v>
      </c>
      <c r="B15" s="169"/>
      <c r="C15" s="169">
        <v>0</v>
      </c>
      <c r="D15" s="169">
        <v>0</v>
      </c>
      <c r="E15" s="169">
        <f t="shared" si="0"/>
        <v>0</v>
      </c>
      <c r="F15" s="169">
        <f t="shared" si="1"/>
        <v>0</v>
      </c>
    </row>
    <row r="16" spans="1:6" ns2:dyDescent="0.25">
      <c r="A16" s="181" t="s">
        <v>756</v>
      </c>
      <c r="B16" s="180"/>
      <c r="C16" s="180">
        <f>SUM(C13:C15)</f>
        <v>0</v>
      </c>
      <c r="D16" s="180">
        <f t="shared" ref="D16" si="3">SUM(D13:D15)</f>
        <v>0</v>
      </c>
      <c r="E16" s="180">
        <f t="shared" si="0"/>
        <v>0</v>
      </c>
      <c r="F16" s="180">
        <f t="shared" si="1"/>
        <v>0</v>
      </c>
    </row>
    <row r="17" spans="1:6" ns2:dyDescent="0.25">
      <c r="A17" s="418" t="s">
        <v>102</v>
      </c>
      <c r="B17" s="172"/>
      <c r="C17" s="172">
        <f>C12+C16</f>
        <v>0</v>
      </c>
      <c r="D17" s="172">
        <f t="shared" ref="D17" si="4">D12+D16</f>
        <v>0</v>
      </c>
      <c r="E17" s="172">
        <f t="shared" si="0"/>
        <v>0</v>
      </c>
      <c r="F17" s="172">
        <f t="shared" si="1"/>
        <v>0</v>
      </c>
    </row>
    <row r="19" ht="14.4" customHeight="1" spans="1:6" ns2:dyDescent="0.25">
      <c r="A19" s="419" t="s">
        <v>444</v>
      </c>
      <c r="B19" s="300"/>
      <c r="C19" s="300"/>
      <c r="D19" s="300"/>
      <c r="E19" s="300"/>
      <c r="F19" s="300"/>
    </row>
    <row r="20" spans="1:6" ns2:dyDescent="0.25">
      <c r="A20" s="300" t="s">
        <v>757</v>
      </c>
      <c r="B20" s="300"/>
      <c r="C20" s="300"/>
      <c r="D20" s="300"/>
      <c r="E20" s="300"/>
      <c r="F20" s="300"/>
    </row>
    <row r="21" spans="1:6" ns2:dyDescent="0.25">
      <c r="A21" s="300" t="s">
        <v>758</v>
      </c>
      <c r="B21" s="300"/>
      <c r="C21" s="300"/>
      <c r="D21" s="300"/>
      <c r="E21" s="300"/>
      <c r="F21" s="300"/>
    </row>
    <row r="22" spans="1:6" ns2:dyDescent="0.25">
      <c r="A22" s="300" t="s">
        <v>759</v>
      </c>
      <c r="B22" s="300"/>
      <c r="C22" s="300"/>
      <c r="D22" s="300"/>
      <c r="E22" s="300"/>
      <c r="F22" s="300"/>
    </row>
    <row r="23" spans="1:6" ns2:dyDescent="0.25">
      <c r="A23" s="300" t="s">
        <v>760</v>
      </c>
      <c r="B23" s="300"/>
      <c r="C23" s="300"/>
      <c r="D23" s="300"/>
      <c r="E23" s="300"/>
      <c r="F23" s="300"/>
    </row>
    <row r="24" spans="1:6" ns2:dyDescent="0.25">
      <c r="A24" s="300" t="s">
        <v>761</v>
      </c>
      <c r="B24" s="300"/>
      <c r="C24" s="300"/>
      <c r="D24" s="300"/>
      <c r="E24" s="300"/>
      <c r="F24" s="300"/>
    </row>
    <row r="25" spans="1:6" ns2:dyDescent="0.25">
      <c r="A25" s="300" t="s">
        <v>762</v>
      </c>
      <c r="B25" s="300"/>
      <c r="C25" s="300"/>
      <c r="D25" s="300"/>
      <c r="E25" s="300"/>
      <c r="F25" s="300"/>
    </row>
    <row r="26" spans="1:6" ns2:dyDescent="0.25">
      <c r="A26" s="300" t="s">
        <v>763</v>
      </c>
      <c r="B26" s="300"/>
      <c r="C26" s="300"/>
      <c r="D26" s="300"/>
      <c r="E26" s="300"/>
      <c r="F26" s="300"/>
    </row>
    <row r="27" spans="1:6" ns2:dyDescent="0.25">
      <c r="A27" s="300" t="s">
        <v>764</v>
      </c>
      <c r="B27" s="300"/>
      <c r="C27" s="300"/>
      <c r="D27" s="300"/>
      <c r="E27" s="300"/>
      <c r="F27" s="300"/>
    </row>
  </sheetData>
  <mergeCells count="9">
    <mergeCell ref="E6:F6"/>
    <mergeCell ref="A6:A7"/>
    <mergeCell ref="B6:B7"/>
    <mergeCell ref="C6:C7"/>
    <mergeCell ref="D6:D7"/>
    <mergeCell ref="A20:F20"/>
    <mergeCell ref="A21:F21"/>
    <mergeCell ref="A22:F22"/>
    <mergeCell ref="A23:F23"/>
  </mergeCells>
  <pageMargins left="0.7" right="0.7" top="0.75" bottom="0.75" header="0.3" footer="0.3"/>
  <pageSetup paperSize="9" orientation="portrait" horizontalDpi="4294967295" verticalDpi="4294967295" scale="73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39"/>
  <sheetViews>
    <sheetView workbookViewId="0" zoomScale="100" zoomScaleNormal="100"/>
  </sheetViews>
  <sheetFormatPr defaultRowHeight="13.8" outlineLevelRow="0" outlineLevelCol="0" x14ac:dyDescent="0.25" defaultColWidth="11.44140625" customHeight="1"/>
  <cols>
    <col min="1" max="1" width="50.44140625" style="133" customWidth="1"/>
    <col min="2" max="2" width="8" style="133" customWidth="1"/>
    <col min="3" max="3" width="7.21875" style="133" customWidth="1"/>
    <col min="4" max="4" width="9.77734375" style="133" customWidth="1"/>
    <col min="5" max="5" width="8.44140625" style="133" customWidth="1"/>
    <col min="6" max="6" width="7.21875" style="133" customWidth="1"/>
    <col min="7" max="7" width="8.77734375" style="133" customWidth="1"/>
    <col min="8" max="8" width="8" style="133" customWidth="1"/>
    <col min="9" max="16384" width="11.44140625" style="133" customWidth="1"/>
  </cols>
  <sheetData>
    <row r="6" ht="44.25" customHeight="1" spans="1:8" x14ac:dyDescent="0.25">
      <c r="A6" s="341" t="s">
        <v>765</v>
      </c>
      <c r="B6" s="337" t="s">
        <v>595</v>
      </c>
      <c r="C6" s="337" t="s">
        <v>596</v>
      </c>
      <c r="D6" s="341" t="s">
        <v>618</v>
      </c>
      <c r="E6" s="341"/>
      <c r="F6" s="316" t="s">
        <v>766</v>
      </c>
      <c r="G6" s="316" t="s">
        <v>767</v>
      </c>
      <c r="H6" s="316" t="s">
        <v>768</v>
      </c>
    </row>
    <row r="7" ht="48.75" customHeight="1" spans="1:8" x14ac:dyDescent="0.25">
      <c r="A7" s="341"/>
      <c r="B7" s="337"/>
      <c r="C7" s="337"/>
      <c r="D7" s="341" t="s">
        <v>725</v>
      </c>
      <c r="E7" s="341" t="s">
        <v>620</v>
      </c>
      <c r="F7" s="319"/>
      <c r="G7" s="319"/>
      <c r="H7" s="319"/>
    </row>
    <row r="8" spans="1:8" x14ac:dyDescent="0.25">
      <c r="A8" s="169" t="s">
        <v>769</v>
      </c>
      <c r="B8" s="169">
        <v>0</v>
      </c>
      <c r="C8" s="169">
        <v>0</v>
      </c>
      <c r="D8" s="169">
        <f>B8-C8</f>
        <v>0</v>
      </c>
      <c r="E8" s="169">
        <f>IF(C8=0,0,(B8-C8)/C8)*100</f>
        <v>0</v>
      </c>
      <c r="F8" s="169"/>
      <c r="G8" s="169"/>
      <c r="H8" s="169"/>
    </row>
    <row r="9" spans="1:8" x14ac:dyDescent="0.25">
      <c r="A9" s="169" t="s">
        <v>770</v>
      </c>
      <c r="B9" s="169">
        <v>0</v>
      </c>
      <c r="C9" s="169">
        <v>0</v>
      </c>
      <c r="D9" s="169">
        <f t="shared" ref="D9:D20" si="0">B9-C9</f>
        <v>0</v>
      </c>
      <c r="E9" s="169">
        <f t="shared" ref="E9:E20" si="1">IF(C9=0,0,(B9-C9)/C9)*100</f>
        <v>0</v>
      </c>
      <c r="F9" s="169"/>
      <c r="G9" s="169"/>
      <c r="H9" s="169"/>
    </row>
    <row r="10" spans="1:8" x14ac:dyDescent="0.25">
      <c r="A10" s="169" t="s">
        <v>771</v>
      </c>
      <c r="B10" s="169">
        <v>0</v>
      </c>
      <c r="C10" s="169">
        <v>0</v>
      </c>
      <c r="D10" s="169">
        <f t="shared" si="0"/>
        <v>0</v>
      </c>
      <c r="E10" s="169">
        <f t="shared" si="1"/>
        <v>0</v>
      </c>
      <c r="F10" s="169"/>
      <c r="G10" s="169"/>
      <c r="H10" s="169"/>
    </row>
    <row r="11" spans="1:8" x14ac:dyDescent="0.25">
      <c r="A11" s="169" t="s">
        <v>772</v>
      </c>
      <c r="B11" s="169">
        <v>0</v>
      </c>
      <c r="C11" s="169">
        <v>0</v>
      </c>
      <c r="D11" s="169">
        <f t="shared" si="0"/>
        <v>0</v>
      </c>
      <c r="E11" s="169">
        <f t="shared" si="1"/>
        <v>0</v>
      </c>
      <c r="F11" s="169"/>
      <c r="G11" s="169"/>
      <c r="H11" s="169"/>
    </row>
    <row r="12" spans="1:8" x14ac:dyDescent="0.25">
      <c r="A12" s="169" t="s">
        <v>773</v>
      </c>
      <c r="B12" s="169">
        <v>0</v>
      </c>
      <c r="C12" s="169">
        <v>0</v>
      </c>
      <c r="D12" s="169">
        <f t="shared" si="0"/>
        <v>0</v>
      </c>
      <c r="E12" s="169">
        <f t="shared" si="1"/>
        <v>0</v>
      </c>
      <c r="F12" s="169"/>
      <c r="G12" s="169"/>
      <c r="H12" s="169"/>
    </row>
    <row r="13" spans="1:8" x14ac:dyDescent="0.25">
      <c r="A13" s="169" t="s">
        <v>774</v>
      </c>
      <c r="B13" s="169">
        <v>0</v>
      </c>
      <c r="C13" s="169">
        <v>0</v>
      </c>
      <c r="D13" s="169">
        <f t="shared" si="0"/>
        <v>0</v>
      </c>
      <c r="E13" s="169">
        <f t="shared" si="1"/>
        <v>0</v>
      </c>
      <c r="F13" s="169"/>
      <c r="G13" s="169"/>
      <c r="H13" s="169"/>
    </row>
    <row r="14" spans="1:8" x14ac:dyDescent="0.25">
      <c r="A14" s="181" t="s">
        <v>775</v>
      </c>
      <c r="B14" s="180">
        <f>SUM(B8:B13)</f>
        <v>0</v>
      </c>
      <c r="C14" s="180">
        <f>SUM(C8:C13)</f>
        <v>0</v>
      </c>
      <c r="D14" s="180">
        <f t="shared" si="0"/>
        <v>0</v>
      </c>
      <c r="E14" s="180">
        <f t="shared" si="1"/>
        <v>0</v>
      </c>
      <c r="F14" s="180">
        <f>SUM(F8:F13)</f>
        <v>0</v>
      </c>
      <c r="G14" s="180">
        <f t="shared" ref="G14:H14" si="2">SUM(G8:G13)</f>
        <v>0</v>
      </c>
      <c r="H14" s="180">
        <f t="shared" si="2"/>
        <v>0</v>
      </c>
    </row>
    <row r="15" spans="1:8" x14ac:dyDescent="0.25">
      <c r="A15" s="169" t="s">
        <v>776</v>
      </c>
      <c r="B15" s="169">
        <v>0</v>
      </c>
      <c r="C15" s="169">
        <v>0</v>
      </c>
      <c r="D15" s="169"/>
      <c r="E15" s="169"/>
      <c r="F15" s="169"/>
      <c r="G15" s="169"/>
      <c r="H15" s="169"/>
    </row>
    <row r="16" spans="1:8" x14ac:dyDescent="0.25">
      <c r="A16" s="169" t="s">
        <v>777</v>
      </c>
      <c r="B16" s="169">
        <v>0</v>
      </c>
      <c r="C16" s="169">
        <v>0</v>
      </c>
      <c r="D16" s="169"/>
      <c r="E16" s="169"/>
      <c r="F16" s="169"/>
      <c r="G16" s="169"/>
      <c r="H16" s="169"/>
    </row>
    <row r="17" spans="1:8" x14ac:dyDescent="0.25">
      <c r="A17" s="169" t="s">
        <v>778</v>
      </c>
      <c r="B17" s="169">
        <v>0</v>
      </c>
      <c r="C17" s="169">
        <v>0</v>
      </c>
      <c r="D17" s="169"/>
      <c r="E17" s="169"/>
      <c r="F17" s="169"/>
      <c r="G17" s="169"/>
      <c r="H17" s="169"/>
    </row>
    <row r="18" spans="1:8" x14ac:dyDescent="0.25">
      <c r="A18" s="169" t="s">
        <v>773</v>
      </c>
      <c r="B18" s="169"/>
      <c r="C18" s="169"/>
      <c r="D18" s="169"/>
      <c r="E18" s="169"/>
      <c r="F18" s="169"/>
      <c r="G18" s="169"/>
      <c r="H18" s="169"/>
    </row>
    <row r="19" spans="1:8" x14ac:dyDescent="0.25">
      <c r="A19" s="169" t="s">
        <v>779</v>
      </c>
      <c r="B19" s="169">
        <v>0</v>
      </c>
      <c r="C19" s="169">
        <v>0</v>
      </c>
      <c r="D19" s="169"/>
      <c r="E19" s="169"/>
      <c r="F19" s="169"/>
      <c r="G19" s="169"/>
      <c r="H19" s="169"/>
    </row>
    <row r="20" spans="1:8" x14ac:dyDescent="0.25">
      <c r="A20" s="181" t="s">
        <v>780</v>
      </c>
      <c r="B20" s="180">
        <f>SUM(B15:B19)</f>
        <v>0</v>
      </c>
      <c r="C20" s="180">
        <f t="shared" ref="C20:H20" si="3">SUM(C15:C19)</f>
        <v>0</v>
      </c>
      <c r="D20" s="180">
        <f t="shared" si="0"/>
        <v>0</v>
      </c>
      <c r="E20" s="180">
        <f t="shared" si="1"/>
        <v>0</v>
      </c>
      <c r="F20" s="180">
        <f t="shared" si="3"/>
        <v>0</v>
      </c>
      <c r="G20" s="180">
        <f t="shared" si="3"/>
        <v>0</v>
      </c>
      <c r="H20" s="180">
        <f t="shared" si="3"/>
        <v>0</v>
      </c>
    </row>
    <row r="21" spans="1:8" x14ac:dyDescent="0.25">
      <c r="A21" s="169" t="s">
        <v>781</v>
      </c>
      <c r="B21" s="169">
        <v>0</v>
      </c>
      <c r="C21" s="169">
        <v>0</v>
      </c>
      <c r="D21" s="169"/>
      <c r="E21" s="169"/>
      <c r="F21" s="207"/>
      <c r="G21" s="207"/>
      <c r="H21" s="207"/>
    </row>
    <row r="22" spans="1:8" x14ac:dyDescent="0.25">
      <c r="A22" s="169" t="s">
        <v>782</v>
      </c>
      <c r="B22" s="169">
        <v>0</v>
      </c>
      <c r="C22" s="169">
        <v>0</v>
      </c>
      <c r="D22" s="169"/>
      <c r="E22" s="169"/>
      <c r="F22" s="207"/>
      <c r="G22" s="207"/>
      <c r="H22" s="207"/>
    </row>
    <row r="23" spans="1:8" x14ac:dyDescent="0.25">
      <c r="A23" s="169" t="s">
        <v>783</v>
      </c>
      <c r="B23" s="169">
        <v>0</v>
      </c>
      <c r="C23" s="169">
        <v>0</v>
      </c>
      <c r="D23" s="169"/>
      <c r="E23" s="169"/>
      <c r="F23" s="207"/>
      <c r="G23" s="207"/>
      <c r="H23" s="207"/>
    </row>
    <row r="24" spans="1:8" x14ac:dyDescent="0.25">
      <c r="A24" s="169" t="s">
        <v>784</v>
      </c>
      <c r="B24" s="169">
        <v>0</v>
      </c>
      <c r="C24" s="169">
        <v>0</v>
      </c>
      <c r="D24" s="169"/>
      <c r="E24" s="169"/>
      <c r="F24" s="207"/>
      <c r="G24" s="207"/>
      <c r="H24" s="207"/>
    </row>
    <row r="25" spans="1:8" x14ac:dyDescent="0.25">
      <c r="A25" s="169" t="s">
        <v>785</v>
      </c>
      <c r="B25" s="169"/>
      <c r="C25" s="169"/>
      <c r="D25" s="169"/>
      <c r="E25" s="169"/>
      <c r="F25" s="169"/>
      <c r="G25" s="169"/>
      <c r="H25" s="169"/>
    </row>
    <row r="26" spans="1:8" x14ac:dyDescent="0.25">
      <c r="A26" s="169" t="s">
        <v>786</v>
      </c>
      <c r="B26" s="169">
        <v>0</v>
      </c>
      <c r="C26" s="169">
        <v>0</v>
      </c>
      <c r="D26" s="169"/>
      <c r="E26" s="169"/>
      <c r="F26" s="420"/>
      <c r="G26" s="207"/>
      <c r="H26" s="207"/>
    </row>
    <row r="27" ht="27.6" customHeight="1" spans="1:8" x14ac:dyDescent="0.25">
      <c r="A27" s="170" t="s">
        <v>787</v>
      </c>
      <c r="B27" s="172">
        <f>SUM(B21:B26)</f>
        <v>0</v>
      </c>
      <c r="C27" s="172">
        <f t="shared" ref="C27:E27" si="4">SUM(C21:C26)</f>
        <v>0</v>
      </c>
      <c r="D27" s="172">
        <f t="shared" si="4"/>
        <v>0</v>
      </c>
      <c r="E27" s="172">
        <f t="shared" si="4"/>
        <v>0</v>
      </c>
      <c r="F27" s="207"/>
      <c r="G27" s="207"/>
      <c r="H27" s="207"/>
    </row>
    <row r="28" spans="1:8" s="421" customFormat="1" x14ac:dyDescent="0.25">
      <c r="A28" s="422"/>
      <c r="B28" s="423"/>
      <c r="C28" s="423"/>
      <c r="D28" s="423"/>
      <c r="E28" s="423"/>
      <c r="F28" s="423"/>
      <c r="G28" s="423"/>
      <c r="H28" s="423"/>
    </row>
    <row r="29" spans="1:7" x14ac:dyDescent="0.25">
      <c r="A29" s="300" t="s">
        <v>788</v>
      </c>
      <c r="B29" s="300"/>
      <c r="C29" s="300"/>
      <c r="D29" s="300"/>
      <c r="E29" s="300"/>
      <c r="F29" s="300"/>
      <c r="G29" s="300"/>
    </row>
    <row r="30" ht="14.4" customHeight="1" spans="1:7" x14ac:dyDescent="0.25">
      <c r="A30" s="299" t="s">
        <v>789</v>
      </c>
      <c r="B30" s="300"/>
      <c r="C30" s="300"/>
      <c r="D30" s="300"/>
      <c r="E30" s="300"/>
      <c r="F30" s="300"/>
      <c r="G30" s="300"/>
    </row>
    <row r="31" spans="1:8" x14ac:dyDescent="0.25">
      <c r="A31" s="424" t="s">
        <v>790</v>
      </c>
      <c r="B31" s="424"/>
      <c r="C31" s="424"/>
      <c r="D31" s="424"/>
      <c r="E31" s="424"/>
      <c r="F31" s="424"/>
      <c r="G31" s="424"/>
      <c r="H31" s="300"/>
    </row>
    <row r="32" spans="1:8" x14ac:dyDescent="0.25">
      <c r="A32" s="424" t="s">
        <v>791</v>
      </c>
      <c r="B32" s="424"/>
      <c r="C32" s="424"/>
      <c r="D32" s="424"/>
      <c r="E32" s="424"/>
      <c r="F32" s="424"/>
      <c r="G32" s="424"/>
      <c r="H32" s="300"/>
    </row>
    <row r="33" spans="1:8" x14ac:dyDescent="0.25">
      <c r="A33" s="424" t="s">
        <v>792</v>
      </c>
      <c r="B33" s="424"/>
      <c r="C33" s="424"/>
      <c r="D33" s="424"/>
      <c r="E33" s="424"/>
      <c r="F33" s="424"/>
      <c r="G33" s="424"/>
      <c r="H33" s="300"/>
    </row>
    <row r="34" spans="1:8" x14ac:dyDescent="0.25">
      <c r="A34" s="300" t="s">
        <v>793</v>
      </c>
      <c r="B34" s="300"/>
      <c r="C34" s="300"/>
      <c r="D34" s="300"/>
      <c r="E34" s="300"/>
      <c r="F34" s="300"/>
      <c r="G34" s="300"/>
      <c r="H34" s="300"/>
    </row>
    <row r="35" spans="1:8" x14ac:dyDescent="0.25">
      <c r="A35" s="300" t="s">
        <v>794</v>
      </c>
      <c r="B35" s="300"/>
      <c r="C35" s="300"/>
      <c r="D35" s="300"/>
      <c r="E35" s="300"/>
      <c r="F35" s="300"/>
      <c r="G35" s="300"/>
      <c r="H35" s="300"/>
    </row>
    <row r="36" spans="1:8" x14ac:dyDescent="0.25">
      <c r="A36" s="424" t="s">
        <v>795</v>
      </c>
      <c r="B36" s="424"/>
      <c r="C36" s="424"/>
      <c r="D36" s="424"/>
      <c r="E36" s="424"/>
      <c r="F36" s="424"/>
      <c r="G36" s="424"/>
      <c r="H36" s="300"/>
    </row>
    <row r="37" spans="1:8" x14ac:dyDescent="0.25">
      <c r="A37" s="424" t="s">
        <v>796</v>
      </c>
      <c r="B37" s="424"/>
      <c r="C37" s="424"/>
      <c r="D37" s="424"/>
      <c r="E37" s="424"/>
      <c r="F37" s="424"/>
      <c r="G37" s="424"/>
      <c r="H37" s="300"/>
    </row>
    <row r="38" spans="1:8" x14ac:dyDescent="0.25">
      <c r="A38" s="300" t="s">
        <v>797</v>
      </c>
      <c r="B38" s="300"/>
      <c r="C38" s="300"/>
      <c r="D38" s="300"/>
      <c r="E38" s="300"/>
      <c r="F38" s="300"/>
      <c r="G38" s="300"/>
      <c r="H38" s="300"/>
    </row>
    <row r="39" spans="1:7" x14ac:dyDescent="0.25">
      <c r="A39" s="300"/>
      <c r="B39" s="300"/>
      <c r="C39" s="300"/>
      <c r="D39" s="300"/>
      <c r="E39" s="300"/>
      <c r="F39" s="300"/>
      <c r="G39" s="300"/>
    </row>
  </sheetData>
  <mergeCells count="15">
    <mergeCell ref="D6:E6"/>
    <mergeCell ref="A6:A7"/>
    <mergeCell ref="B6:B7"/>
    <mergeCell ref="C6:C7"/>
    <mergeCell ref="F6:F7"/>
    <mergeCell ref="G6:G7"/>
    <mergeCell ref="H6:H7"/>
    <mergeCell ref="A31:H31"/>
    <mergeCell ref="A32:H32"/>
    <mergeCell ref="A33:H33"/>
    <mergeCell ref="A34:H34"/>
    <mergeCell ref="A35:H35"/>
    <mergeCell ref="A36:H36"/>
    <mergeCell ref="A37:H37"/>
    <mergeCell ref="A38:H38"/>
  </mergeCells>
  <pageMargins left="0.7" right="0.7" top="0.75" bottom="0.75" header="0.3" footer="0.3"/>
  <pageSetup paperSize="9" orientation="portrait" horizontalDpi="4294967295" verticalDpi="4294967295" scale="72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20"/>
  <sheetViews>
    <sheetView workbookViewId="0" zoomScale="100" zoomScaleNormal="100">
      <selection activeCell="B13" sqref="B13"/>
    </sheetView>
  </sheetViews>
  <sheetFormatPr defaultRowHeight="13.8" outlineLevelRow="0" outlineLevelCol="0" x14ac:dyDescent="0.25" defaultColWidth="11.44140625" customHeight="1"/>
  <cols>
    <col min="1" max="1" width="42.5546875" style="133" customWidth="1"/>
    <col min="2" max="2" width="22.77734375" style="133" customWidth="1"/>
    <col min="3" max="3" width="24.21875" style="133" customWidth="1"/>
    <col min="4" max="16384" width="11.44140625" style="133" customWidth="1"/>
  </cols>
  <sheetData>
    <row r="7" spans="1:3" x14ac:dyDescent="0.25">
      <c r="A7" s="314" t="s">
        <v>399</v>
      </c>
      <c r="B7" s="314" t="s">
        <v>595</v>
      </c>
      <c r="C7" s="314" t="s">
        <v>596</v>
      </c>
    </row>
    <row r="8" spans="1:3" x14ac:dyDescent="0.25">
      <c r="A8" s="181" t="s">
        <v>798</v>
      </c>
      <c r="B8" s="181"/>
      <c r="C8" s="181"/>
    </row>
    <row r="9" spans="1:3" x14ac:dyDescent="0.25">
      <c r="A9" s="168" t="s">
        <v>799</v>
      </c>
      <c r="B9" s="168"/>
      <c r="C9" s="168"/>
    </row>
    <row r="10" spans="1:3" x14ac:dyDescent="0.25">
      <c r="A10" s="168" t="s">
        <v>800</v>
      </c>
      <c r="B10" s="168"/>
      <c r="C10" s="168"/>
    </row>
    <row r="11" spans="1:3" x14ac:dyDescent="0.25">
      <c r="A11" s="168" t="s">
        <v>800</v>
      </c>
      <c r="B11" s="168"/>
      <c r="C11" s="168"/>
    </row>
    <row r="12" spans="1:3" x14ac:dyDescent="0.25">
      <c r="A12" s="181" t="s">
        <v>801</v>
      </c>
      <c r="B12" s="181"/>
      <c r="C12" s="181"/>
    </row>
    <row r="13" spans="1:3" x14ac:dyDescent="0.25">
      <c r="A13" s="168" t="s">
        <v>799</v>
      </c>
      <c r="B13" s="168"/>
      <c r="C13" s="168"/>
    </row>
    <row r="14" spans="1:3" x14ac:dyDescent="0.25">
      <c r="A14" s="168" t="s">
        <v>800</v>
      </c>
      <c r="B14" s="168"/>
      <c r="C14" s="168"/>
    </row>
    <row r="15" spans="1:3" x14ac:dyDescent="0.25">
      <c r="A15" s="168" t="s">
        <v>800</v>
      </c>
      <c r="B15" s="168"/>
      <c r="C15" s="168"/>
    </row>
    <row r="17" ht="14.4" customHeight="1" spans="1:5" x14ac:dyDescent="0.25">
      <c r="A17" s="299" t="s">
        <v>444</v>
      </c>
      <c r="B17" s="300"/>
      <c r="C17" s="300"/>
      <c r="D17" s="300"/>
      <c r="E17" s="300"/>
    </row>
    <row r="18" spans="1:5" x14ac:dyDescent="0.25">
      <c r="A18" s="300"/>
      <c r="B18" s="300"/>
      <c r="C18" s="300"/>
      <c r="D18" s="300"/>
      <c r="E18" s="300"/>
    </row>
    <row r="19" spans="1:5" x14ac:dyDescent="0.25">
      <c r="A19" s="300" t="s">
        <v>802</v>
      </c>
      <c r="B19" s="300"/>
      <c r="C19" s="300"/>
      <c r="D19" s="300"/>
      <c r="E19" s="300"/>
    </row>
    <row r="20" spans="1:5" x14ac:dyDescent="0.25">
      <c r="A20" s="300" t="s">
        <v>803</v>
      </c>
      <c r="B20" s="300"/>
      <c r="C20" s="300"/>
      <c r="D20" s="300"/>
      <c r="E20" s="300"/>
    </row>
  </sheetData>
  <mergeCells count="2">
    <mergeCell ref="A19:C19"/>
    <mergeCell ref="A20:C20"/>
  </mergeCells>
  <pageMargins left="0.7" right="0.7" top="0.75" bottom="0.75" header="0.3" footer="0.3"/>
  <pageSetup paperSize="9" orientation="portrait" horizontalDpi="4294967295" verticalDpi="4294967295" scale="77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2"/>
  <sheetViews>
    <sheetView workbookViewId="0" zoomScale="100" zoomScaleNormal="100">
      <selection activeCell="J19" sqref="J19"/>
    </sheetView>
  </sheetViews>
  <sheetFormatPr defaultRowHeight="13.8" outlineLevelRow="0" outlineLevelCol="0" x14ac:dyDescent="0.25" defaultColWidth="11.44140625" customHeight="1"/>
  <cols>
    <col min="1" max="1" width="42.77734375" style="133" customWidth="1"/>
    <col min="2" max="2" width="8.88671875" style="133" customWidth="1"/>
    <col min="3" max="3" width="12.44140625" style="133" customWidth="1"/>
    <col min="4" max="5" width="11.44140625" style="133" customWidth="1"/>
    <col min="6" max="6" width="8.5546875" style="133" customWidth="1"/>
    <col min="7" max="7" width="8.44140625" style="133" customWidth="1"/>
    <col min="8" max="8" width="9.109375" style="133" customWidth="1"/>
    <col min="9" max="16384" width="11.44140625" style="133" customWidth="1"/>
  </cols>
  <sheetData>
    <row r="5" ht="14.25" customHeight="1" x14ac:dyDescent="0.25"/>
    <row r="6" ht="38.25" customHeight="1" spans="1:8" x14ac:dyDescent="0.25">
      <c r="A6" s="341" t="s">
        <v>765</v>
      </c>
      <c r="B6" s="337" t="s">
        <v>595</v>
      </c>
      <c r="C6" s="337" t="s">
        <v>596</v>
      </c>
      <c r="D6" s="341" t="s">
        <v>618</v>
      </c>
      <c r="E6" s="341"/>
      <c r="F6" s="316" t="s">
        <v>766</v>
      </c>
      <c r="G6" s="316" t="s">
        <v>767</v>
      </c>
      <c r="H6" s="337" t="s">
        <v>804</v>
      </c>
    </row>
    <row r="7" ht="60.75" customHeight="1" spans="1:8" x14ac:dyDescent="0.25">
      <c r="A7" s="341"/>
      <c r="B7" s="337"/>
      <c r="C7" s="337"/>
      <c r="D7" s="341" t="s">
        <v>725</v>
      </c>
      <c r="E7" s="341" t="s">
        <v>620</v>
      </c>
      <c r="F7" s="319"/>
      <c r="G7" s="319"/>
      <c r="H7" s="337"/>
    </row>
    <row r="8" spans="1:8" x14ac:dyDescent="0.25">
      <c r="A8" s="169" t="s">
        <v>805</v>
      </c>
      <c r="B8" s="169">
        <v>162000</v>
      </c>
      <c r="C8" s="169">
        <v>1040791</v>
      </c>
      <c r="D8" s="169">
        <f>B8-C8</f>
        <v>-878791</v>
      </c>
      <c r="E8" s="169">
        <f>IF(C8=0,0,(B8-C8)/C8)*100</f>
        <v>-84.43491536725432</v>
      </c>
      <c r="F8" s="169"/>
      <c r="G8" s="169"/>
      <c r="H8" s="169"/>
    </row>
    <row r="9" spans="1:8" x14ac:dyDescent="0.25">
      <c r="A9" s="169" t="s">
        <v>806</v>
      </c>
      <c r="B9" s="169">
        <v>0</v>
      </c>
      <c r="C9" s="169">
        <v>0</v>
      </c>
      <c r="D9" s="169">
        <f t="shared" ref="D9:D17" si="0">B9-C9</f>
        <v>0</v>
      </c>
      <c r="E9" s="169">
        <f t="shared" ref="E9:E17" si="1">IF(C9=0,0,(B9-C9)/C9)*100</f>
        <v>0</v>
      </c>
      <c r="F9" s="169"/>
      <c r="G9" s="169"/>
      <c r="H9" s="169"/>
    </row>
    <row r="10" spans="1:8" x14ac:dyDescent="0.25">
      <c r="A10" s="169" t="s">
        <v>807</v>
      </c>
      <c r="B10" s="169">
        <v>0</v>
      </c>
      <c r="C10" s="169">
        <v>0</v>
      </c>
      <c r="D10" s="169">
        <f t="shared" si="0"/>
        <v>0</v>
      </c>
      <c r="E10" s="169">
        <f t="shared" si="1"/>
        <v>0</v>
      </c>
      <c r="F10" s="169"/>
      <c r="G10" s="169"/>
      <c r="H10" s="169"/>
    </row>
    <row r="11" spans="1:8" x14ac:dyDescent="0.25">
      <c r="A11" s="169" t="s">
        <v>808</v>
      </c>
      <c r="B11" s="169">
        <v>0</v>
      </c>
      <c r="C11" s="169">
        <v>0</v>
      </c>
      <c r="D11" s="169">
        <f t="shared" si="0"/>
        <v>0</v>
      </c>
      <c r="E11" s="169">
        <f t="shared" si="1"/>
        <v>0</v>
      </c>
      <c r="F11" s="169"/>
      <c r="G11" s="169"/>
      <c r="H11" s="169"/>
    </row>
    <row r="12" spans="1:8" x14ac:dyDescent="0.25">
      <c r="A12" s="169" t="s">
        <v>809</v>
      </c>
      <c r="B12" s="169">
        <v>500000</v>
      </c>
      <c r="C12" s="169">
        <v>500000</v>
      </c>
      <c r="D12" s="169">
        <f t="shared" si="0"/>
        <v>0</v>
      </c>
      <c r="E12" s="169">
        <f t="shared" si="1"/>
        <v>0</v>
      </c>
      <c r="F12" s="169"/>
      <c r="G12" s="169"/>
      <c r="H12" s="169"/>
    </row>
    <row r="13" spans="1:8" x14ac:dyDescent="0.25">
      <c r="A13" s="205" t="s">
        <v>810</v>
      </c>
      <c r="B13" s="180">
        <f>SUM(B8:B12)</f>
        <v>662000</v>
      </c>
      <c r="C13" s="180">
        <f t="shared" ref="C13:H13" si="2">SUM(C8:C12)</f>
        <v>1540791</v>
      </c>
      <c r="D13" s="180">
        <f t="shared" si="0"/>
        <v>-878791</v>
      </c>
      <c r="E13" s="180">
        <f t="shared" si="1"/>
        <v>-57.035055370910136</v>
      </c>
      <c r="F13" s="180">
        <f t="shared" si="2"/>
        <v>0</v>
      </c>
      <c r="G13" s="180">
        <f t="shared" si="2"/>
        <v>0</v>
      </c>
      <c r="H13" s="180">
        <f t="shared" si="2"/>
        <v>0</v>
      </c>
    </row>
    <row r="14" spans="1:8" x14ac:dyDescent="0.25">
      <c r="A14" s="169" t="s">
        <v>811</v>
      </c>
      <c r="B14" s="169">
        <v>2875750</v>
      </c>
      <c r="C14" s="169">
        <v>963536</v>
      </c>
      <c r="D14" s="169"/>
      <c r="E14" s="169"/>
      <c r="F14" s="169"/>
      <c r="G14" s="169"/>
      <c r="H14" s="169"/>
    </row>
    <row r="15" spans="1:8" x14ac:dyDescent="0.25">
      <c r="A15" s="169" t="s">
        <v>812</v>
      </c>
      <c r="B15" s="169">
        <v>0</v>
      </c>
      <c r="C15" s="169">
        <v>0</v>
      </c>
      <c r="D15" s="169"/>
      <c r="E15" s="169"/>
      <c r="F15" s="169"/>
      <c r="G15" s="169"/>
      <c r="H15" s="169"/>
    </row>
    <row r="16" spans="1:8" x14ac:dyDescent="0.25">
      <c r="A16" s="169" t="s">
        <v>813</v>
      </c>
      <c r="B16" s="169"/>
      <c r="C16" s="169"/>
      <c r="D16" s="169"/>
      <c r="E16" s="169"/>
      <c r="F16" s="169"/>
      <c r="G16" s="169"/>
      <c r="H16" s="169"/>
    </row>
    <row r="17" spans="1:8" x14ac:dyDescent="0.25">
      <c r="A17" s="209" t="s">
        <v>814</v>
      </c>
      <c r="B17" s="172">
        <f>SUM(B14:B16)</f>
        <v>2875750</v>
      </c>
      <c r="C17" s="172">
        <f>SUM(C14:C16)</f>
        <v>963536</v>
      </c>
      <c r="D17" s="172">
        <f t="shared" si="0"/>
        <v>1912214</v>
      </c>
      <c r="E17" s="172">
        <f t="shared" si="1"/>
        <v>198.45797147174574</v>
      </c>
      <c r="F17" s="172">
        <f t="shared" ref="C17:H17" si="3">SUM(F13:F16)</f>
        <v>0</v>
      </c>
      <c r="G17" s="172">
        <f t="shared" si="3"/>
        <v>0</v>
      </c>
      <c r="H17" s="172">
        <f t="shared" si="3"/>
        <v>0</v>
      </c>
    </row>
    <row r="19" ht="14.4" customHeight="1" spans="1:1" x14ac:dyDescent="0.25">
      <c r="A19" s="299" t="s">
        <v>444</v>
      </c>
    </row>
    <row r="20" ht="14.4" customHeight="1" spans="1:1" x14ac:dyDescent="0.25">
      <c r="A20" s="186" t="s">
        <v>815</v>
      </c>
    </row>
    <row r="21" ht="14.4" customHeight="1" spans="1:1" x14ac:dyDescent="0.25">
      <c r="A21" s="300" t="s">
        <v>816</v>
      </c>
    </row>
    <row r="22" spans="1:1" x14ac:dyDescent="0.25">
      <c r="A22" s="133" t="s">
        <v>817</v>
      </c>
    </row>
  </sheetData>
  <mergeCells count="7">
    <mergeCell ref="D6:E6"/>
    <mergeCell ref="A6:A7"/>
    <mergeCell ref="B6:B7"/>
    <mergeCell ref="C6:C7"/>
    <mergeCell ref="F6:F7"/>
    <mergeCell ref="G6:G7"/>
    <mergeCell ref="H6:H7"/>
  </mergeCells>
  <pageMargins left="0.7" right="0.7" top="0.75" bottom="0.75" header="0.3" footer="0.3"/>
  <pageSetup paperSize="9" orientation="portrait" horizontalDpi="4294967295" verticalDpi="4294967295" scale="73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29"/>
  <sheetViews>
    <sheetView workbookViewId="0" zoomScale="100" zoomScaleNormal="100">
      <selection activeCell="F1" sqref="F1"/>
    </sheetView>
  </sheetViews>
  <sheetFormatPr defaultRowHeight="13.8" outlineLevelRow="0" outlineLevelCol="0" x14ac:dyDescent="0.25" defaultColWidth="11.44140625" customHeight="1"/>
  <cols>
    <col min="1" max="1" width="43.5546875" style="133" customWidth="1"/>
    <col min="2" max="2" width="9.88671875" style="133" customWidth="1"/>
    <col min="3" max="3" width="8" style="133" customWidth="1"/>
    <col min="4" max="5" width="11.44140625" style="133" customWidth="1"/>
    <col min="6" max="6" width="7.77734375" style="133" customWidth="1"/>
    <col min="7" max="7" width="7.109375" style="133" customWidth="1"/>
    <col min="8" max="8" width="8" style="133" customWidth="1"/>
    <col min="9" max="16384" width="11.44140625" style="133" customWidth="1"/>
  </cols>
  <sheetData>
    <row r="6" ht="57.75" customHeight="1" spans="1:8" x14ac:dyDescent="0.25">
      <c r="A6" s="327" t="s">
        <v>399</v>
      </c>
      <c r="B6" s="327" t="s">
        <v>595</v>
      </c>
      <c r="C6" s="316" t="s">
        <v>596</v>
      </c>
      <c r="D6" s="335" t="s">
        <v>618</v>
      </c>
      <c r="E6" s="336"/>
      <c r="F6" s="316" t="s">
        <v>818</v>
      </c>
      <c r="G6" s="316" t="s">
        <v>767</v>
      </c>
      <c r="H6" s="316" t="s">
        <v>804</v>
      </c>
    </row>
    <row r="7" ht="71.25" customHeight="1" spans="1:8" x14ac:dyDescent="0.25">
      <c r="A7" s="331"/>
      <c r="B7" s="331"/>
      <c r="C7" s="319"/>
      <c r="D7" s="341" t="s">
        <v>725</v>
      </c>
      <c r="E7" s="341" t="s">
        <v>620</v>
      </c>
      <c r="F7" s="319"/>
      <c r="G7" s="319"/>
      <c r="H7" s="319"/>
    </row>
    <row r="8" spans="1:8" x14ac:dyDescent="0.25">
      <c r="A8" s="169" t="s">
        <v>819</v>
      </c>
      <c r="B8" s="169">
        <v>0</v>
      </c>
      <c r="C8" s="169">
        <v>0</v>
      </c>
      <c r="D8" s="169">
        <f>B8-C8</f>
        <v>0</v>
      </c>
      <c r="E8" s="169">
        <f>IF(C8=0,0,(B8-C8)/C8)*100</f>
        <v>0</v>
      </c>
      <c r="F8" s="169"/>
      <c r="G8" s="169"/>
      <c r="H8" s="169"/>
    </row>
    <row r="9" spans="1:8" x14ac:dyDescent="0.25">
      <c r="A9" s="169" t="s">
        <v>820</v>
      </c>
      <c r="B9" s="169">
        <v>0</v>
      </c>
      <c r="C9" s="169">
        <v>0</v>
      </c>
      <c r="D9" s="169">
        <f t="shared" ref="D9:D23" si="0">B9-C9</f>
        <v>0</v>
      </c>
      <c r="E9" s="169">
        <f t="shared" ref="E9:E23" si="1">IF(C9=0,0,(B9-C9)/C9)*100</f>
        <v>0</v>
      </c>
      <c r="F9" s="169"/>
      <c r="G9" s="169"/>
      <c r="H9" s="169"/>
    </row>
    <row r="10" spans="1:8" x14ac:dyDescent="0.25">
      <c r="A10" s="169" t="s">
        <v>821</v>
      </c>
      <c r="B10" s="169">
        <v>0</v>
      </c>
      <c r="C10" s="169">
        <v>0</v>
      </c>
      <c r="D10" s="169">
        <f t="shared" si="0"/>
        <v>0</v>
      </c>
      <c r="E10" s="169">
        <f t="shared" si="1"/>
        <v>0</v>
      </c>
      <c r="F10" s="169"/>
      <c r="G10" s="169"/>
      <c r="H10" s="169"/>
    </row>
    <row r="11" spans="1:8" x14ac:dyDescent="0.25">
      <c r="A11" s="169" t="s">
        <v>822</v>
      </c>
      <c r="B11" s="169"/>
      <c r="C11" s="169"/>
      <c r="D11" s="169">
        <f t="shared" si="0"/>
        <v>0</v>
      </c>
      <c r="E11" s="169">
        <f t="shared" si="1"/>
        <v>0</v>
      </c>
      <c r="F11" s="169"/>
      <c r="G11" s="169"/>
      <c r="H11" s="169"/>
    </row>
    <row r="12" spans="1:8" x14ac:dyDescent="0.25">
      <c r="A12" s="169" t="s">
        <v>823</v>
      </c>
      <c r="B12" s="169">
        <v>0</v>
      </c>
      <c r="C12" s="169">
        <v>0</v>
      </c>
      <c r="D12" s="169">
        <f t="shared" si="0"/>
        <v>0</v>
      </c>
      <c r="E12" s="169">
        <f t="shared" si="1"/>
        <v>0</v>
      </c>
      <c r="F12" s="169"/>
      <c r="G12" s="169"/>
      <c r="H12" s="169"/>
    </row>
    <row r="13" spans="1:8" x14ac:dyDescent="0.25">
      <c r="A13" s="169" t="s">
        <v>824</v>
      </c>
      <c r="B13" s="169">
        <v>0</v>
      </c>
      <c r="C13" s="169">
        <v>0</v>
      </c>
      <c r="D13" s="169">
        <f t="shared" si="0"/>
        <v>0</v>
      </c>
      <c r="E13" s="169">
        <f t="shared" si="1"/>
        <v>0</v>
      </c>
      <c r="F13" s="169"/>
      <c r="G13" s="169"/>
      <c r="H13" s="169"/>
    </row>
    <row r="14" spans="1:8" x14ac:dyDescent="0.25">
      <c r="A14" s="169" t="s">
        <v>825</v>
      </c>
      <c r="B14" s="169">
        <v>0</v>
      </c>
      <c r="C14" s="169">
        <v>0</v>
      </c>
      <c r="D14" s="169">
        <f t="shared" si="0"/>
        <v>0</v>
      </c>
      <c r="E14" s="169">
        <f t="shared" si="1"/>
        <v>0</v>
      </c>
      <c r="F14" s="169"/>
      <c r="G14" s="169"/>
      <c r="H14" s="169"/>
    </row>
    <row r="15" spans="1:8" x14ac:dyDescent="0.25">
      <c r="A15" s="169" t="s">
        <v>826</v>
      </c>
      <c r="B15" s="169">
        <v>0</v>
      </c>
      <c r="C15" s="169">
        <v>0</v>
      </c>
      <c r="D15" s="169">
        <f t="shared" si="0"/>
        <v>0</v>
      </c>
      <c r="E15" s="169">
        <f t="shared" si="1"/>
        <v>0</v>
      </c>
      <c r="F15" s="169"/>
      <c r="G15" s="169"/>
      <c r="H15" s="169"/>
    </row>
    <row r="16" spans="1:8" x14ac:dyDescent="0.25">
      <c r="A16" s="169" t="s">
        <v>827</v>
      </c>
      <c r="B16" s="169">
        <v>0</v>
      </c>
      <c r="C16" s="169">
        <v>0</v>
      </c>
      <c r="D16" s="169">
        <f t="shared" si="0"/>
        <v>0</v>
      </c>
      <c r="E16" s="169">
        <f t="shared" si="1"/>
        <v>0</v>
      </c>
      <c r="F16" s="169"/>
      <c r="G16" s="169"/>
      <c r="H16" s="169"/>
    </row>
    <row r="17" spans="1:8" x14ac:dyDescent="0.25">
      <c r="A17" s="169" t="s">
        <v>828</v>
      </c>
      <c r="B17" s="169">
        <v>0</v>
      </c>
      <c r="C17" s="169">
        <v>0</v>
      </c>
      <c r="D17" s="169">
        <f t="shared" si="0"/>
        <v>0</v>
      </c>
      <c r="E17" s="169">
        <f t="shared" si="1"/>
        <v>0</v>
      </c>
      <c r="F17" s="169"/>
      <c r="G17" s="169"/>
      <c r="H17" s="169"/>
    </row>
    <row r="18" spans="1:8" x14ac:dyDescent="0.25">
      <c r="A18" s="181" t="s">
        <v>829</v>
      </c>
      <c r="B18" s="181">
        <f>SUM(B8:B17)</f>
        <v>0</v>
      </c>
      <c r="C18" s="181">
        <f t="shared" ref="C18:H18" si="2">SUM(C8:C17)</f>
        <v>0</v>
      </c>
      <c r="D18" s="181">
        <f t="shared" si="0"/>
        <v>0</v>
      </c>
      <c r="E18" s="181">
        <f t="shared" si="1"/>
        <v>0</v>
      </c>
      <c r="F18" s="181">
        <f t="shared" si="2"/>
        <v>0</v>
      </c>
      <c r="G18" s="181">
        <f t="shared" si="2"/>
        <v>0</v>
      </c>
      <c r="H18" s="181">
        <f t="shared" si="2"/>
        <v>0</v>
      </c>
    </row>
    <row r="19" spans="1:8" x14ac:dyDescent="0.25">
      <c r="A19" s="169" t="s">
        <v>830</v>
      </c>
      <c r="B19" s="169">
        <v>0</v>
      </c>
      <c r="C19" s="169">
        <v>0</v>
      </c>
      <c r="D19" s="169"/>
      <c r="E19" s="169"/>
      <c r="F19" s="169"/>
      <c r="G19" s="169"/>
      <c r="H19" s="169"/>
    </row>
    <row r="20" spans="1:8" x14ac:dyDescent="0.25">
      <c r="A20" s="169" t="s">
        <v>831</v>
      </c>
      <c r="B20" s="169">
        <v>0</v>
      </c>
      <c r="C20" s="169">
        <v>0</v>
      </c>
      <c r="D20" s="169"/>
      <c r="E20" s="169"/>
      <c r="F20" s="169"/>
      <c r="G20" s="169"/>
      <c r="H20" s="169"/>
    </row>
    <row r="21" spans="1:8" x14ac:dyDescent="0.25">
      <c r="A21" s="169" t="s">
        <v>832</v>
      </c>
      <c r="B21" s="169">
        <v>13500</v>
      </c>
      <c r="C21" s="169">
        <v>0</v>
      </c>
      <c r="D21" s="169"/>
      <c r="E21" s="169"/>
      <c r="F21" s="169"/>
      <c r="G21" s="169"/>
      <c r="H21" s="169"/>
    </row>
    <row r="22" spans="1:8" x14ac:dyDescent="0.25">
      <c r="A22" s="169" t="s">
        <v>833</v>
      </c>
      <c r="B22" s="169"/>
      <c r="C22" s="169"/>
      <c r="D22" s="169"/>
      <c r="E22" s="169"/>
      <c r="F22" s="169"/>
      <c r="G22" s="169"/>
      <c r="H22" s="169"/>
    </row>
    <row r="23" spans="1:8" x14ac:dyDescent="0.25">
      <c r="A23" s="181" t="s">
        <v>834</v>
      </c>
      <c r="B23" s="181">
        <f>SUM(B19:B22)</f>
        <v>13500</v>
      </c>
      <c r="C23" s="181">
        <f t="shared" ref="C23:H23" si="3">SUM(C19:C22)</f>
        <v>0</v>
      </c>
      <c r="D23" s="181">
        <f t="shared" si="0"/>
        <v>13500</v>
      </c>
      <c r="E23" s="181">
        <f t="shared" si="1"/>
        <v>0</v>
      </c>
      <c r="F23" s="181">
        <f t="shared" si="3"/>
        <v>0</v>
      </c>
      <c r="G23" s="181">
        <f t="shared" si="3"/>
        <v>0</v>
      </c>
      <c r="H23" s="181">
        <f t="shared" si="3"/>
        <v>0</v>
      </c>
    </row>
    <row r="24" spans="1:8" x14ac:dyDescent="0.25">
      <c r="A24" s="169"/>
      <c r="B24" s="169"/>
      <c r="C24" s="169"/>
      <c r="D24" s="169"/>
      <c r="E24" s="169"/>
      <c r="F24" s="169"/>
      <c r="G24" s="169"/>
      <c r="H24" s="169"/>
    </row>
    <row r="25" spans="1:8" x14ac:dyDescent="0.25">
      <c r="A25" s="425" t="s">
        <v>835</v>
      </c>
      <c r="B25" s="426">
        <f>B18+B23</f>
        <v>13500</v>
      </c>
      <c r="C25" s="426">
        <f t="shared" ref="C25:H25" si="4">C18+C23</f>
        <v>0</v>
      </c>
      <c r="D25" s="426">
        <f t="shared" si="4"/>
        <v>13500</v>
      </c>
      <c r="E25" s="426">
        <f t="shared" si="4"/>
        <v>0</v>
      </c>
      <c r="F25" s="426">
        <f t="shared" si="4"/>
        <v>0</v>
      </c>
      <c r="G25" s="426">
        <f t="shared" si="4"/>
        <v>0</v>
      </c>
      <c r="H25" s="426">
        <f t="shared" si="4"/>
        <v>0</v>
      </c>
    </row>
    <row r="27" ht="14.4" customHeight="1" spans="1:2" x14ac:dyDescent="0.25">
      <c r="A27" s="299" t="s">
        <v>444</v>
      </c>
      <c r="B27" s="300"/>
    </row>
    <row r="28" spans="1:2" x14ac:dyDescent="0.25">
      <c r="A28" s="300" t="s">
        <v>836</v>
      </c>
      <c r="B28" s="300"/>
    </row>
    <row r="29" spans="1:2" x14ac:dyDescent="0.25">
      <c r="A29" s="300" t="s">
        <v>837</v>
      </c>
      <c r="B29" s="300"/>
    </row>
  </sheetData>
  <mergeCells count="9">
    <mergeCell ref="D6:E6"/>
    <mergeCell ref="A6:A7"/>
    <mergeCell ref="B6:B7"/>
    <mergeCell ref="C6:C7"/>
    <mergeCell ref="F6:F7"/>
    <mergeCell ref="G6:G7"/>
    <mergeCell ref="H6:H7"/>
    <mergeCell ref="A28:B28"/>
    <mergeCell ref="A29:B29"/>
  </mergeCells>
  <pageMargins left="0.7" right="0.7" top="0.75" bottom="0.75" header="0.3" footer="0.3"/>
  <pageSetup paperSize="9" orientation="portrait" horizontalDpi="4294967295" verticalDpi="4294967295" scale="73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28"/>
  <sheetViews>
    <sheetView workbookViewId="0" zoomScale="100" zoomScaleNormal="100">
      <selection activeCell="E1" sqref="E1"/>
    </sheetView>
  </sheetViews>
  <sheetFormatPr defaultRowHeight="13.8" outlineLevelRow="0" outlineLevelCol="0" x14ac:dyDescent="0.25" defaultColWidth="11.44140625" customHeight="1"/>
  <cols>
    <col min="1" max="1" width="42.44140625" style="133" customWidth="1"/>
    <col min="2" max="2" width="7.77734375" style="133" customWidth="1"/>
    <col min="3" max="3" width="8.109375" style="133" customWidth="1"/>
    <col min="4" max="5" width="11.44140625" style="133" customWidth="1"/>
    <col min="6" max="6" width="7.5546875" style="133" customWidth="1"/>
    <col min="7" max="7" width="7.21875" style="133" customWidth="1"/>
    <col min="8" max="8" width="7.5546875" style="133" customWidth="1"/>
    <col min="9" max="16384" width="11.44140625" style="133" customWidth="1"/>
  </cols>
  <sheetData>
    <row r="6" ht="42" customHeight="1" spans="1:8" x14ac:dyDescent="0.25">
      <c r="A6" s="398" t="s">
        <v>399</v>
      </c>
      <c r="B6" s="398" t="s">
        <v>595</v>
      </c>
      <c r="C6" s="398" t="s">
        <v>596</v>
      </c>
      <c r="D6" s="398" t="s">
        <v>618</v>
      </c>
      <c r="E6" s="398"/>
      <c r="F6" s="337" t="s">
        <v>818</v>
      </c>
      <c r="G6" s="337" t="s">
        <v>767</v>
      </c>
      <c r="H6" s="337" t="s">
        <v>804</v>
      </c>
    </row>
    <row r="7" ht="63.75" customHeight="1" spans="1:8" x14ac:dyDescent="0.25">
      <c r="A7" s="398"/>
      <c r="B7" s="398"/>
      <c r="C7" s="398"/>
      <c r="D7" s="398" t="s">
        <v>619</v>
      </c>
      <c r="E7" s="398" t="s">
        <v>620</v>
      </c>
      <c r="F7" s="337"/>
      <c r="G7" s="337"/>
      <c r="H7" s="337"/>
    </row>
    <row r="8" spans="1:8" x14ac:dyDescent="0.25">
      <c r="A8" s="174" t="s">
        <v>838</v>
      </c>
      <c r="B8" s="169">
        <v>0</v>
      </c>
      <c r="C8" s="169">
        <v>0</v>
      </c>
      <c r="D8" s="169">
        <f>B8-C8</f>
        <v>0</v>
      </c>
      <c r="E8" s="169">
        <f>IF(C8=0,0,(B8-C8)/C8)*100</f>
        <v>0</v>
      </c>
      <c r="F8" s="169"/>
      <c r="G8" s="169"/>
      <c r="H8" s="169"/>
    </row>
    <row r="9" spans="1:8" x14ac:dyDescent="0.25">
      <c r="A9" s="174" t="s">
        <v>839</v>
      </c>
      <c r="B9" s="169">
        <v>0</v>
      </c>
      <c r="C9" s="169">
        <v>0</v>
      </c>
      <c r="D9" s="169">
        <f t="shared" ref="D9:D12" si="0">B9-C9</f>
        <v>0</v>
      </c>
      <c r="E9" s="169">
        <f t="shared" ref="E9:E12" si="1">IF(C9=0,0,(B9-C9)/C9)*100</f>
        <v>0</v>
      </c>
      <c r="F9" s="169"/>
      <c r="G9" s="169"/>
      <c r="H9" s="169"/>
    </row>
    <row r="10" spans="1:10" x14ac:dyDescent="0.25">
      <c r="A10" s="174" t="s">
        <v>734</v>
      </c>
      <c r="B10" s="169">
        <v>0</v>
      </c>
      <c r="C10" s="169">
        <v>0</v>
      </c>
      <c r="D10" s="169">
        <f t="shared" si="0"/>
        <v>0</v>
      </c>
      <c r="E10" s="169">
        <f t="shared" si="1"/>
        <v>0</v>
      </c>
      <c r="F10" s="169"/>
      <c r="G10" s="169"/>
      <c r="H10" s="169"/>
      <c r="J10" s="133" t="s">
        <v>27</v>
      </c>
    </row>
    <row r="11" spans="1:8" x14ac:dyDescent="0.25">
      <c r="A11" s="174" t="s">
        <v>840</v>
      </c>
      <c r="B11" s="169">
        <v>0</v>
      </c>
      <c r="C11" s="169">
        <v>0</v>
      </c>
      <c r="D11" s="169">
        <f t="shared" si="0"/>
        <v>0</v>
      </c>
      <c r="E11" s="169">
        <f t="shared" si="1"/>
        <v>0</v>
      </c>
      <c r="F11" s="169"/>
      <c r="G11" s="169"/>
      <c r="H11" s="169"/>
    </row>
    <row r="12" ht="27.6" customHeight="1" spans="1:8" x14ac:dyDescent="0.25">
      <c r="A12" s="427" t="s">
        <v>841</v>
      </c>
      <c r="B12" s="181">
        <f>SUM(B8:B11)</f>
        <v>0</v>
      </c>
      <c r="C12" s="181">
        <f t="shared" ref="C12:H12" si="2">SUM(C8:C11)</f>
        <v>0</v>
      </c>
      <c r="D12" s="181">
        <f t="shared" si="0"/>
        <v>0</v>
      </c>
      <c r="E12" s="181">
        <f t="shared" si="1"/>
        <v>0</v>
      </c>
      <c r="F12" s="181">
        <f t="shared" si="2"/>
        <v>0</v>
      </c>
      <c r="G12" s="181">
        <f t="shared" si="2"/>
        <v>0</v>
      </c>
      <c r="H12" s="181">
        <f t="shared" si="2"/>
        <v>0</v>
      </c>
    </row>
    <row r="13" spans="1:8" x14ac:dyDescent="0.25">
      <c r="A13" s="174" t="s">
        <v>842</v>
      </c>
      <c r="B13" s="169">
        <v>19440</v>
      </c>
      <c r="C13" s="169">
        <v>0</v>
      </c>
      <c r="D13" s="169">
        <f>B13-C13</f>
        <v>19440</v>
      </c>
      <c r="E13" s="169">
        <f>IF(C13=0,0,(B13-C13)/C13)*100</f>
        <v>0</v>
      </c>
      <c r="F13" s="169"/>
      <c r="G13" s="169"/>
      <c r="H13" s="169"/>
    </row>
    <row r="14" ht="27.6" customHeight="1" spans="1:8" x14ac:dyDescent="0.25">
      <c r="A14" s="174" t="s">
        <v>843</v>
      </c>
      <c r="B14" s="169">
        <v>0</v>
      </c>
      <c r="C14" s="169">
        <v>0</v>
      </c>
      <c r="D14" s="169">
        <f t="shared" ref="D14:D18" si="3">B14-C14</f>
        <v>0</v>
      </c>
      <c r="E14" s="169">
        <f t="shared" ref="E14:E18" si="4">IF(C14=0,0,(B14-C14)/C14)*100</f>
        <v>0</v>
      </c>
      <c r="F14" s="169"/>
      <c r="G14" s="169"/>
      <c r="H14" s="169"/>
    </row>
    <row r="15" ht="27.6" customHeight="1" spans="1:8" x14ac:dyDescent="0.25">
      <c r="A15" s="174" t="s">
        <v>844</v>
      </c>
      <c r="B15" s="169">
        <v>0</v>
      </c>
      <c r="C15" s="169">
        <v>0</v>
      </c>
      <c r="D15" s="169">
        <f t="shared" si="3"/>
        <v>0</v>
      </c>
      <c r="E15" s="169">
        <f t="shared" si="4"/>
        <v>0</v>
      </c>
      <c r="F15" s="169"/>
      <c r="G15" s="169"/>
      <c r="H15" s="169"/>
    </row>
    <row r="16" spans="1:8" x14ac:dyDescent="0.25">
      <c r="A16" s="174" t="s">
        <v>845</v>
      </c>
      <c r="B16" s="169">
        <v>0</v>
      </c>
      <c r="C16" s="169">
        <v>0</v>
      </c>
      <c r="D16" s="169">
        <f t="shared" si="3"/>
        <v>0</v>
      </c>
      <c r="E16" s="169">
        <f t="shared" si="4"/>
        <v>0</v>
      </c>
      <c r="F16" s="169"/>
      <c r="G16" s="169"/>
      <c r="H16" s="169"/>
    </row>
    <row r="17" spans="1:8" x14ac:dyDescent="0.25">
      <c r="A17" s="174" t="s">
        <v>846</v>
      </c>
      <c r="B17" s="169"/>
      <c r="C17" s="169"/>
      <c r="D17" s="169">
        <f t="shared" si="3"/>
        <v>0</v>
      </c>
      <c r="E17" s="169">
        <f t="shared" si="4"/>
        <v>0</v>
      </c>
      <c r="F17" s="169"/>
      <c r="G17" s="169"/>
      <c r="H17" s="169"/>
    </row>
    <row r="18" spans="1:8" x14ac:dyDescent="0.25">
      <c r="A18" s="427" t="s">
        <v>847</v>
      </c>
      <c r="B18" s="181">
        <f>SUM(B13:B17)</f>
        <v>19440</v>
      </c>
      <c r="C18" s="181">
        <f t="shared" ref="C18:H18" si="5">SUM(C13:C17)</f>
        <v>0</v>
      </c>
      <c r="D18" s="181">
        <f t="shared" si="3"/>
        <v>19440</v>
      </c>
      <c r="E18" s="181">
        <f t="shared" si="4"/>
        <v>0</v>
      </c>
      <c r="F18" s="181">
        <f t="shared" si="5"/>
        <v>0</v>
      </c>
      <c r="G18" s="181">
        <f t="shared" si="5"/>
        <v>0</v>
      </c>
      <c r="H18" s="181">
        <f t="shared" si="5"/>
        <v>0</v>
      </c>
    </row>
    <row r="19" spans="1:8" x14ac:dyDescent="0.25">
      <c r="A19" s="174"/>
      <c r="B19" s="169"/>
      <c r="C19" s="169"/>
      <c r="D19" s="169"/>
      <c r="E19" s="169"/>
      <c r="F19" s="169"/>
      <c r="G19" s="169"/>
      <c r="H19" s="169"/>
    </row>
    <row r="20" spans="1:8" x14ac:dyDescent="0.25">
      <c r="A20" s="427" t="s">
        <v>848</v>
      </c>
      <c r="B20" s="180">
        <f>+B12+B18</f>
        <v>19440</v>
      </c>
      <c r="C20" s="180">
        <f t="shared" ref="C20:H20" si="6">+C12+C18</f>
        <v>0</v>
      </c>
      <c r="D20" s="180">
        <f t="shared" si="6"/>
        <v>19440</v>
      </c>
      <c r="E20" s="180">
        <f t="shared" si="6"/>
        <v>0</v>
      </c>
      <c r="F20" s="180">
        <f t="shared" si="6"/>
        <v>0</v>
      </c>
      <c r="G20" s="180">
        <f t="shared" si="6"/>
        <v>0</v>
      </c>
      <c r="H20" s="180">
        <f t="shared" si="6"/>
        <v>0</v>
      </c>
    </row>
    <row r="21" spans="1:8" x14ac:dyDescent="0.25">
      <c r="A21" s="174"/>
      <c r="B21" s="169"/>
      <c r="C21" s="169"/>
      <c r="D21" s="169"/>
      <c r="E21" s="169"/>
      <c r="F21" s="169"/>
      <c r="G21" s="169"/>
      <c r="H21" s="169"/>
    </row>
    <row r="22" ht="27.6" customHeight="1" spans="1:8" x14ac:dyDescent="0.25">
      <c r="A22" s="170" t="s">
        <v>849</v>
      </c>
      <c r="B22" s="172">
        <f>+'NOTE 30'!I29-'NOTE 30'!B29</f>
        <v>0</v>
      </c>
      <c r="C22" s="172">
        <f>+'NOTE 30'!C29</f>
        <v>0</v>
      </c>
      <c r="D22" s="172">
        <f>B22-C22</f>
        <v>0</v>
      </c>
      <c r="E22" s="172">
        <f>IF(C22=0,0,(B22-C22)/C22)*100</f>
        <v>0</v>
      </c>
      <c r="F22" s="368"/>
      <c r="G22" s="368"/>
      <c r="H22" s="368"/>
    </row>
    <row r="23" spans="1:8" x14ac:dyDescent="0.25">
      <c r="A23" s="428"/>
      <c r="B23" s="423"/>
      <c r="C23" s="423"/>
      <c r="D23" s="423"/>
      <c r="E23" s="423"/>
      <c r="F23" s="429"/>
      <c r="G23" s="429"/>
      <c r="H23" s="429"/>
    </row>
    <row r="24" ht="14.4" customHeight="1" spans="1:4" x14ac:dyDescent="0.25">
      <c r="A24" s="411" t="s">
        <v>631</v>
      </c>
      <c r="B24" s="186"/>
      <c r="C24" s="186"/>
      <c r="D24" s="186"/>
    </row>
    <row r="25" spans="1:4" x14ac:dyDescent="0.25">
      <c r="A25" s="300" t="s">
        <v>850</v>
      </c>
      <c r="B25" s="300"/>
      <c r="C25" s="300"/>
      <c r="D25" s="300"/>
    </row>
    <row r="26" spans="1:4" x14ac:dyDescent="0.25">
      <c r="A26" s="300" t="s">
        <v>851</v>
      </c>
      <c r="B26" s="300"/>
      <c r="C26" s="300"/>
      <c r="D26" s="300"/>
    </row>
    <row r="27" spans="1:4" x14ac:dyDescent="0.25">
      <c r="A27" s="300" t="s">
        <v>852</v>
      </c>
      <c r="B27" s="300"/>
      <c r="C27" s="300"/>
      <c r="D27" s="300"/>
    </row>
    <row r="28" spans="1:1" x14ac:dyDescent="0.25">
      <c r="A28" s="430"/>
    </row>
  </sheetData>
  <mergeCells count="10">
    <mergeCell ref="D6:E6"/>
    <mergeCell ref="A6:A7"/>
    <mergeCell ref="B6:B7"/>
    <mergeCell ref="C6:C7"/>
    <mergeCell ref="F6:F7"/>
    <mergeCell ref="G6:G7"/>
    <mergeCell ref="H6:H7"/>
    <mergeCell ref="A25:D25"/>
    <mergeCell ref="A26:D26"/>
    <mergeCell ref="A27:D27"/>
  </mergeCells>
  <pageMargins left="0.7" right="0.7" top="0.75" bottom="0.75" header="0.3" footer="0.3"/>
  <pageSetup paperSize="9" orientation="portrait" horizontalDpi="4294967295" verticalDpi="4294967295" scale="76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22"/>
  <sheetViews>
    <sheetView workbookViewId="0" zoomScale="100" zoomScaleNormal="100">
      <selection activeCell="A18" sqref="A18"/>
    </sheetView>
  </sheetViews>
  <sheetFormatPr defaultRowHeight="13.8" outlineLevelRow="0" outlineLevelCol="0" x14ac:dyDescent="0.25" defaultColWidth="11.44140625" customHeight="1"/>
  <cols>
    <col min="1" max="1" width="39.5546875" style="133" customWidth="1"/>
    <col min="2" max="16384" width="11.44140625" style="133" customWidth="1"/>
  </cols>
  <sheetData>
    <row r="6" spans="1:5" x14ac:dyDescent="0.25">
      <c r="A6" s="431" t="s">
        <v>399</v>
      </c>
      <c r="B6" s="432" t="s">
        <v>595</v>
      </c>
      <c r="C6" s="432" t="s">
        <v>596</v>
      </c>
      <c r="D6" s="432" t="s">
        <v>618</v>
      </c>
      <c r="E6" s="432"/>
    </row>
    <row r="7" spans="1:5" x14ac:dyDescent="0.25">
      <c r="A7" s="433"/>
      <c r="B7" s="432"/>
      <c r="C7" s="432"/>
      <c r="D7" s="432" t="s">
        <v>619</v>
      </c>
      <c r="E7" s="432" t="s">
        <v>620</v>
      </c>
    </row>
    <row r="8" spans="1:5" x14ac:dyDescent="0.25">
      <c r="A8" s="365" t="s">
        <v>695</v>
      </c>
      <c r="B8" s="169">
        <v>0</v>
      </c>
      <c r="C8" s="169">
        <v>0</v>
      </c>
      <c r="D8" s="169">
        <f>B8-C8</f>
        <v>0</v>
      </c>
      <c r="E8" s="169">
        <f>IF(C8=0,0,(B8-C8)/C8)*100</f>
        <v>0</v>
      </c>
    </row>
    <row r="9" spans="1:5" x14ac:dyDescent="0.25">
      <c r="A9" s="365" t="s">
        <v>853</v>
      </c>
      <c r="B9" s="169">
        <v>0</v>
      </c>
      <c r="C9" s="169">
        <v>0</v>
      </c>
      <c r="D9" s="169">
        <f t="shared" ref="D9:D13" si="0">B9-C9</f>
        <v>0</v>
      </c>
      <c r="E9" s="169">
        <f t="shared" ref="E9:E13" si="1">IF(C9=0,0,(B9-C9)/C9)*100</f>
        <v>0</v>
      </c>
    </row>
    <row r="10" spans="1:5" x14ac:dyDescent="0.25">
      <c r="A10" s="365" t="s">
        <v>854</v>
      </c>
      <c r="B10" s="169">
        <v>0</v>
      </c>
      <c r="C10" s="169">
        <v>0</v>
      </c>
      <c r="D10" s="169">
        <f t="shared" si="0"/>
        <v>0</v>
      </c>
      <c r="E10" s="169">
        <f t="shared" si="1"/>
        <v>0</v>
      </c>
    </row>
    <row r="11" spans="1:5" x14ac:dyDescent="0.25">
      <c r="A11" s="365" t="s">
        <v>855</v>
      </c>
      <c r="B11" s="169">
        <v>0</v>
      </c>
      <c r="C11" s="169">
        <v>0</v>
      </c>
      <c r="D11" s="169">
        <f t="shared" si="0"/>
        <v>0</v>
      </c>
      <c r="E11" s="169">
        <f t="shared" si="1"/>
        <v>0</v>
      </c>
    </row>
    <row r="12" spans="1:5" x14ac:dyDescent="0.25">
      <c r="A12" s="365" t="s">
        <v>856</v>
      </c>
      <c r="B12" s="169">
        <v>0</v>
      </c>
      <c r="C12" s="169">
        <v>0</v>
      </c>
      <c r="D12" s="169">
        <f t="shared" si="0"/>
        <v>0</v>
      </c>
      <c r="E12" s="169">
        <f t="shared" si="1"/>
        <v>0</v>
      </c>
    </row>
    <row r="13" ht="27.6" customHeight="1" spans="1:5" x14ac:dyDescent="0.25">
      <c r="A13" s="322" t="s">
        <v>857</v>
      </c>
      <c r="B13" s="180">
        <f>SUM(B8:B12)</f>
        <v>0</v>
      </c>
      <c r="C13" s="180">
        <f t="shared" ref="C13" si="2">SUM(C8:C12)</f>
        <v>0</v>
      </c>
      <c r="D13" s="180">
        <f t="shared" si="0"/>
        <v>0</v>
      </c>
      <c r="E13" s="180">
        <f t="shared" si="1"/>
        <v>0</v>
      </c>
    </row>
    <row r="14" spans="1:5" x14ac:dyDescent="0.25">
      <c r="A14" s="365"/>
      <c r="B14" s="169"/>
      <c r="C14" s="169"/>
      <c r="D14" s="169"/>
      <c r="E14" s="169"/>
    </row>
    <row r="15" spans="1:5" x14ac:dyDescent="0.25">
      <c r="A15" s="405" t="s">
        <v>164</v>
      </c>
      <c r="B15" s="172">
        <f>B13</f>
        <v>0</v>
      </c>
      <c r="C15" s="172">
        <f t="shared" ref="C15:E15" si="3">C13</f>
        <v>0</v>
      </c>
      <c r="D15" s="172">
        <f t="shared" si="3"/>
        <v>0</v>
      </c>
      <c r="E15" s="172">
        <f t="shared" si="3"/>
        <v>0</v>
      </c>
    </row>
    <row r="16" spans="1:1" x14ac:dyDescent="0.25">
      <c r="A16" s="378"/>
    </row>
    <row r="17" spans="1:6" x14ac:dyDescent="0.25">
      <c r="A17" s="372" t="s">
        <v>631</v>
      </c>
      <c r="B17" s="186"/>
      <c r="C17" s="186"/>
      <c r="D17" s="186"/>
      <c r="E17" s="186"/>
      <c r="F17" s="186"/>
    </row>
    <row r="18" spans="1:6" x14ac:dyDescent="0.25">
      <c r="A18" s="373" t="s">
        <v>858</v>
      </c>
      <c r="B18" s="373"/>
      <c r="C18" s="373"/>
      <c r="D18" s="373"/>
      <c r="E18" s="373"/>
      <c r="F18" s="186"/>
    </row>
    <row r="19" spans="1:6" x14ac:dyDescent="0.25">
      <c r="A19" s="373" t="s">
        <v>859</v>
      </c>
      <c r="B19" s="373"/>
      <c r="C19" s="373"/>
      <c r="D19" s="373"/>
      <c r="E19" s="373"/>
      <c r="F19" s="186"/>
    </row>
    <row r="20" spans="1:6" x14ac:dyDescent="0.25">
      <c r="A20" s="373"/>
      <c r="B20" s="186"/>
      <c r="C20" s="186"/>
      <c r="D20" s="186"/>
      <c r="E20" s="186"/>
      <c r="F20" s="186"/>
    </row>
    <row r="21" spans="1:6" x14ac:dyDescent="0.25">
      <c r="A21" s="372" t="s">
        <v>860</v>
      </c>
      <c r="B21" s="372"/>
      <c r="C21" s="372"/>
      <c r="D21" s="372"/>
      <c r="E21" s="372"/>
      <c r="F21" s="186"/>
    </row>
    <row r="22" spans="1:6" x14ac:dyDescent="0.25">
      <c r="A22" s="186"/>
      <c r="B22" s="186"/>
      <c r="C22" s="186"/>
      <c r="D22" s="186"/>
      <c r="E22" s="186"/>
      <c r="F22" s="186"/>
    </row>
  </sheetData>
  <mergeCells count="7">
    <mergeCell ref="D6:E6"/>
    <mergeCell ref="A6:A7"/>
    <mergeCell ref="B6:B7"/>
    <mergeCell ref="C6:C7"/>
    <mergeCell ref="A18:E18"/>
    <mergeCell ref="A19:E19"/>
    <mergeCell ref="A21:E21"/>
  </mergeCells>
  <pageMargins left="0.7" right="0.7" top="0.75" bottom="0.75" header="0.3" footer="0.3"/>
  <pageSetup paperSize="9" orientation="portrait" horizontalDpi="4294967295" verticalDpi="4294967295" scale="9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24"/>
  <sheetViews>
    <sheetView workbookViewId="0" zoomScale="100" zoomScaleNormal="100">
      <selection activeCell="G10" sqref="G10"/>
    </sheetView>
  </sheetViews>
  <sheetFormatPr defaultRowHeight="13.8" outlineLevelRow="0" outlineLevelCol="0" x14ac:dyDescent="0.25" defaultColWidth="11.44140625" customHeight="1"/>
  <cols>
    <col min="1" max="1" width="52.5546875" style="133" customWidth="1"/>
    <col min="2" max="2" width="11.44140625" style="133" customWidth="1"/>
    <col min="3" max="3" width="10.44140625" style="133" customWidth="1"/>
    <col min="4" max="4" width="10" style="133" customWidth="1"/>
    <col min="5" max="5" width="6.44140625" style="133" customWidth="1"/>
    <col min="6" max="16384" width="11.44140625" style="133" customWidth="1"/>
  </cols>
  <sheetData>
    <row r="7" spans="1:5" x14ac:dyDescent="0.25">
      <c r="A7" s="434" t="s">
        <v>399</v>
      </c>
      <c r="B7" s="434" t="s">
        <v>595</v>
      </c>
      <c r="C7" s="432" t="s">
        <v>596</v>
      </c>
      <c r="D7" s="434" t="s">
        <v>618</v>
      </c>
      <c r="E7" s="434"/>
    </row>
    <row r="8" spans="1:5" x14ac:dyDescent="0.25">
      <c r="A8" s="434"/>
      <c r="B8" s="434"/>
      <c r="C8" s="432"/>
      <c r="D8" s="434" t="s">
        <v>619</v>
      </c>
      <c r="E8" s="434" t="s">
        <v>620</v>
      </c>
    </row>
    <row r="9" spans="1:5" x14ac:dyDescent="0.25">
      <c r="A9" s="365" t="s">
        <v>861</v>
      </c>
      <c r="B9" s="169">
        <v>12791669</v>
      </c>
      <c r="C9" s="169">
        <v>0</v>
      </c>
      <c r="D9" s="169">
        <f>B9-C9</f>
        <v>12791669</v>
      </c>
      <c r="E9" s="169">
        <f>IF(C9=0,0,(B9-C9)/C9)*100</f>
        <v>0</v>
      </c>
    </row>
    <row r="10" spans="1:5" x14ac:dyDescent="0.25">
      <c r="A10" s="365" t="s">
        <v>862</v>
      </c>
      <c r="B10" s="169">
        <v>0</v>
      </c>
      <c r="C10" s="169">
        <v>0</v>
      </c>
      <c r="D10" s="169">
        <f t="shared" ref="D10:D20" si="0">B10-C10</f>
        <v>0</v>
      </c>
      <c r="E10" s="169">
        <f t="shared" ref="E10:E20" si="1">IF(C10=0,0,(B10-C10)/C10)*100</f>
        <v>0</v>
      </c>
    </row>
    <row r="11" spans="1:5" x14ac:dyDescent="0.25">
      <c r="A11" s="365" t="s">
        <v>173</v>
      </c>
      <c r="B11" s="169">
        <v>112035596</v>
      </c>
      <c r="C11" s="169">
        <v>125670000</v>
      </c>
      <c r="D11" s="169">
        <f t="shared" si="0"/>
        <v>-13634404</v>
      </c>
      <c r="E11" s="169">
        <f t="shared" si="1"/>
        <v>-10.849370573724835</v>
      </c>
    </row>
    <row r="12" spans="1:5" x14ac:dyDescent="0.25">
      <c r="A12" s="365" t="s">
        <v>863</v>
      </c>
      <c r="B12" s="169">
        <v>0</v>
      </c>
      <c r="C12" s="169">
        <v>0</v>
      </c>
      <c r="D12" s="169">
        <f t="shared" si="0"/>
        <v>0</v>
      </c>
      <c r="E12" s="169">
        <f t="shared" si="1"/>
        <v>0</v>
      </c>
    </row>
    <row r="13" spans="1:5" x14ac:dyDescent="0.25">
      <c r="A13" s="365" t="s">
        <v>864</v>
      </c>
      <c r="B13" s="169">
        <v>0</v>
      </c>
      <c r="C13" s="169">
        <v>0</v>
      </c>
      <c r="D13" s="169">
        <f t="shared" si="0"/>
        <v>0</v>
      </c>
      <c r="E13" s="169">
        <f t="shared" si="1"/>
        <v>0</v>
      </c>
    </row>
    <row r="14" spans="1:5" x14ac:dyDescent="0.25">
      <c r="A14" s="365" t="s">
        <v>865</v>
      </c>
      <c r="B14" s="169">
        <v>0</v>
      </c>
      <c r="C14" s="169">
        <v>0</v>
      </c>
      <c r="D14" s="169">
        <f t="shared" si="0"/>
        <v>0</v>
      </c>
      <c r="E14" s="169">
        <f t="shared" si="1"/>
        <v>0</v>
      </c>
    </row>
    <row r="15" spans="1:5" x14ac:dyDescent="0.25">
      <c r="A15" s="435" t="s">
        <v>866</v>
      </c>
      <c r="B15" s="180">
        <f>SUM(B9:B14)</f>
        <v>124827265</v>
      </c>
      <c r="C15" s="180">
        <f t="shared" ref="C15" si="2">SUM(C9:C14)</f>
        <v>125670000</v>
      </c>
      <c r="D15" s="180">
        <f t="shared" si="0"/>
        <v>-842735</v>
      </c>
      <c r="E15" s="180">
        <f t="shared" si="1"/>
        <v>-0.6705936182064136</v>
      </c>
    </row>
    <row r="16" spans="1:5" x14ac:dyDescent="0.25">
      <c r="A16" s="365" t="s">
        <v>867</v>
      </c>
      <c r="B16" s="169">
        <v>0</v>
      </c>
      <c r="C16" s="169">
        <v>0</v>
      </c>
      <c r="D16" s="169">
        <f t="shared" si="0"/>
        <v>0</v>
      </c>
      <c r="E16" s="169">
        <f t="shared" si="1"/>
        <v>0</v>
      </c>
    </row>
    <row r="17" spans="1:5" x14ac:dyDescent="0.25">
      <c r="A17" s="365" t="s">
        <v>868</v>
      </c>
      <c r="B17" s="169">
        <v>0</v>
      </c>
      <c r="C17" s="169">
        <v>5255456</v>
      </c>
      <c r="D17" s="169">
        <f t="shared" si="0"/>
        <v>-5255456</v>
      </c>
      <c r="E17" s="169">
        <f t="shared" si="1"/>
        <v>-100</v>
      </c>
    </row>
    <row r="18" ht="27.6" customHeight="1" spans="1:5" x14ac:dyDescent="0.25">
      <c r="A18" s="322" t="s">
        <v>869</v>
      </c>
      <c r="B18" s="180">
        <f>SUM(B16:B17)</f>
        <v>0</v>
      </c>
      <c r="C18" s="180">
        <f t="shared" ref="C18" si="3">SUM(C16:C17)</f>
        <v>5255456</v>
      </c>
      <c r="D18" s="180">
        <f t="shared" si="0"/>
        <v>-5255456</v>
      </c>
      <c r="E18" s="180">
        <f t="shared" si="1"/>
        <v>-100</v>
      </c>
    </row>
    <row r="19" spans="1:5" x14ac:dyDescent="0.25">
      <c r="A19" s="365"/>
      <c r="B19" s="169"/>
      <c r="C19" s="169"/>
      <c r="D19" s="169"/>
      <c r="E19" s="169"/>
    </row>
    <row r="20" spans="1:5" x14ac:dyDescent="0.25">
      <c r="A20" s="405" t="s">
        <v>870</v>
      </c>
      <c r="B20" s="381">
        <f>B15+B18</f>
        <v>124827265</v>
      </c>
      <c r="C20" s="381">
        <f t="shared" ref="C20" si="4">C15+C18</f>
        <v>130925456</v>
      </c>
      <c r="D20" s="381">
        <f t="shared" si="0"/>
        <v>-6098191</v>
      </c>
      <c r="E20" s="381">
        <f t="shared" si="1"/>
        <v>-4.657758075709891</v>
      </c>
    </row>
    <row r="21" spans="1:5" x14ac:dyDescent="0.25">
      <c r="A21" s="436"/>
      <c r="B21" s="437"/>
      <c r="C21" s="437"/>
      <c r="D21" s="437"/>
      <c r="E21" s="437"/>
    </row>
    <row r="22" ht="14.4" customHeight="1" spans="1:1" x14ac:dyDescent="0.25">
      <c r="A22" s="438" t="s">
        <v>631</v>
      </c>
    </row>
    <row r="23" ht="14.4" customHeight="1" spans="1:1" x14ac:dyDescent="0.25">
      <c r="A23" s="439" t="s">
        <v>871</v>
      </c>
    </row>
    <row r="24" ht="14.4" customHeight="1" spans="1:1" x14ac:dyDescent="0.25">
      <c r="A24" s="439" t="s">
        <v>872</v>
      </c>
    </row>
  </sheetData>
  <mergeCells count="4">
    <mergeCell ref="D7:E7"/>
    <mergeCell ref="A7:A8"/>
    <mergeCell ref="B7:B8"/>
    <mergeCell ref="C7:C8"/>
  </mergeCells>
  <pageMargins left="0.7" right="0.7" top="0.75" bottom="0.75" header="0.3" footer="0.3"/>
  <pageSetup paperSize="9" orientation="portrait" horizontalDpi="4294967295" verticalDpi="4294967295" scale="65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 zoomScale="100" zoomScaleNormal="100">
      <selection activeCell="H16" sqref="H16"/>
    </sheetView>
  </sheetViews>
  <sheetFormatPr defaultRowHeight="13.8" outlineLevelRow="0" outlineLevelCol="0" x14ac:dyDescent="0.25" defaultColWidth="11.44140625" customHeight="1"/>
  <cols>
    <col min="1" max="1" width="51" style="133" customWidth="1"/>
    <col min="2" max="2" width="11.44140625" style="133" customWidth="1"/>
    <col min="3" max="3" width="8.21875" style="133" customWidth="1"/>
    <col min="4" max="4" width="10.88671875" style="133" customWidth="1"/>
    <col min="5" max="5" width="8.33203125" style="133" customWidth="1"/>
    <col min="6" max="16384" width="11.44140625" style="133" customWidth="1"/>
  </cols>
  <sheetData>
    <row r="1" spans="6:6" x14ac:dyDescent="0.25">
      <c r="F1" s="133" t="s">
        <v>27</v>
      </c>
    </row>
    <row r="6" spans="1:5" x14ac:dyDescent="0.25">
      <c r="A6" s="432" t="s">
        <v>399</v>
      </c>
      <c r="B6" s="432" t="s">
        <v>595</v>
      </c>
      <c r="C6" s="432" t="s">
        <v>596</v>
      </c>
      <c r="D6" s="432" t="s">
        <v>618</v>
      </c>
      <c r="E6" s="432"/>
    </row>
    <row r="7" spans="1:5" x14ac:dyDescent="0.25">
      <c r="A7" s="432"/>
      <c r="B7" s="432"/>
      <c r="C7" s="432"/>
      <c r="D7" s="432" t="s">
        <v>619</v>
      </c>
      <c r="E7" s="432" t="s">
        <v>620</v>
      </c>
    </row>
    <row r="8" spans="1:5" x14ac:dyDescent="0.25">
      <c r="A8" s="175" t="s">
        <v>873</v>
      </c>
      <c r="B8" s="169">
        <v>72475</v>
      </c>
      <c r="C8" s="169">
        <v>0</v>
      </c>
      <c r="D8" s="169">
        <f>B8-C8</f>
        <v>72475</v>
      </c>
      <c r="E8" s="169">
        <f>IF(C8=0,0,(B8-C8)/C8)*100</f>
        <v>0</v>
      </c>
    </row>
    <row r="9" ht="27.6" customHeight="1" spans="1:5" x14ac:dyDescent="0.25">
      <c r="A9" s="175" t="s">
        <v>874</v>
      </c>
      <c r="B9" s="169">
        <v>24275900</v>
      </c>
      <c r="D9" s="169">
        <f>B9-C9</f>
      </c>
      <c r="E9" s="169">
        <f>IF(C9=0,0,(B9-C9)/C9)*100</f>
      </c>
    </row>
    <row r="10" spans="1:5" x14ac:dyDescent="0.25">
      <c r="A10" s="175" t="s">
        <v>875</v>
      </c>
      <c r="B10" s="169">
        <v>0</v>
      </c>
      <c r="C10" s="169">
        <v>0</v>
      </c>
      <c r="D10" s="169">
        <f t="shared" ref="D10:D31" si="0">B10-C10</f>
        <v>0</v>
      </c>
      <c r="E10" s="169">
        <f t="shared" ref="E10:E31" si="1">IF(C10=0,0,(B10-C10)/C10)*100</f>
        <v>0</v>
      </c>
    </row>
    <row r="11" ht="27.6" customHeight="1" spans="1:5" x14ac:dyDescent="0.25">
      <c r="A11" s="322" t="s">
        <v>876</v>
      </c>
      <c r="B11" s="180">
        <f>SUM(B8:B10)</f>
        <v>24348375</v>
      </c>
      <c r="C11" s="180">
        <f t="shared" ref="C11" si="2">SUM(C8:C10)</f>
        <v>0</v>
      </c>
      <c r="D11" s="180">
        <f t="shared" si="0"/>
        <v>24348375</v>
      </c>
      <c r="E11" s="180">
        <f t="shared" si="1"/>
        <v>0</v>
      </c>
    </row>
    <row r="12" ht="27.6" customHeight="1" spans="1:5" x14ac:dyDescent="0.25">
      <c r="A12" s="175" t="s">
        <v>877</v>
      </c>
      <c r="B12" s="169">
        <v>0</v>
      </c>
      <c r="C12" s="169">
        <v>0</v>
      </c>
      <c r="D12" s="169">
        <f t="shared" si="0"/>
        <v>0</v>
      </c>
      <c r="E12" s="169">
        <f t="shared" si="1"/>
        <v>0</v>
      </c>
    </row>
    <row r="13" ht="27.6" customHeight="1" spans="1:5" x14ac:dyDescent="0.25">
      <c r="A13" s="175" t="s">
        <v>878</v>
      </c>
      <c r="B13" s="169">
        <v>0</v>
      </c>
      <c r="C13" s="169">
        <v>0</v>
      </c>
      <c r="D13" s="169">
        <f t="shared" si="0"/>
        <v>0</v>
      </c>
      <c r="E13" s="169">
        <f t="shared" si="1"/>
        <v>0</v>
      </c>
    </row>
    <row r="14" ht="21" customHeight="1" spans="1:5" x14ac:dyDescent="0.25">
      <c r="A14" s="175" t="s">
        <v>879</v>
      </c>
      <c r="B14" s="169">
        <v>0</v>
      </c>
      <c r="C14" s="169">
        <v>0</v>
      </c>
      <c r="D14" s="169">
        <f t="shared" si="0"/>
        <v>0</v>
      </c>
      <c r="E14" s="169">
        <f t="shared" si="1"/>
        <v>0</v>
      </c>
    </row>
    <row r="15" ht="27.6" customHeight="1" spans="1:5" x14ac:dyDescent="0.25">
      <c r="A15" s="322" t="s">
        <v>880</v>
      </c>
      <c r="B15" s="180">
        <f>SUM(B12:B14)</f>
        <v>0</v>
      </c>
      <c r="C15" s="180">
        <f>SUM(C12:C14)</f>
        <v>0</v>
      </c>
      <c r="D15" s="180">
        <f t="shared" si="0"/>
        <v>0</v>
      </c>
      <c r="E15" s="180">
        <f t="shared" si="1"/>
        <v>0</v>
      </c>
    </row>
    <row r="16" spans="1:5" x14ac:dyDescent="0.25">
      <c r="A16" s="175" t="s">
        <v>881</v>
      </c>
      <c r="B16" s="169">
        <v>0</v>
      </c>
      <c r="C16" s="169">
        <v>0</v>
      </c>
      <c r="D16" s="169">
        <f t="shared" si="0"/>
        <v>0</v>
      </c>
      <c r="E16" s="169">
        <f t="shared" si="1"/>
        <v>0</v>
      </c>
    </row>
    <row r="17" spans="1:5" x14ac:dyDescent="0.25">
      <c r="A17" s="175" t="s">
        <v>882</v>
      </c>
      <c r="B17" s="169">
        <v>0</v>
      </c>
      <c r="C17" s="169">
        <v>0</v>
      </c>
      <c r="D17" s="169">
        <f t="shared" si="0"/>
        <v>0</v>
      </c>
      <c r="E17" s="169">
        <f t="shared" si="1"/>
        <v>0</v>
      </c>
    </row>
    <row r="18" spans="1:5" x14ac:dyDescent="0.25">
      <c r="A18" s="175" t="s">
        <v>883</v>
      </c>
      <c r="B18" s="169">
        <v>0</v>
      </c>
      <c r="C18" s="169">
        <v>0</v>
      </c>
      <c r="D18" s="169">
        <f t="shared" si="0"/>
        <v>0</v>
      </c>
      <c r="E18" s="169">
        <f t="shared" si="1"/>
        <v>0</v>
      </c>
    </row>
    <row r="19" spans="1:5" x14ac:dyDescent="0.25">
      <c r="A19" s="175" t="s">
        <v>884</v>
      </c>
      <c r="B19" s="141">
        <v>0</v>
      </c>
      <c r="C19" s="141">
        <v>0</v>
      </c>
      <c r="D19" s="169">
        <f>B19-C19</f>
        <v>0</v>
      </c>
      <c r="E19" s="169">
        <f>IF(C19=0,0,(B19-C19)/C19)*100</f>
        <v>0</v>
      </c>
    </row>
    <row r="20" spans="1:5" x14ac:dyDescent="0.25">
      <c r="A20" s="175" t="s">
        <v>885</v>
      </c>
      <c r="B20" s="169">
        <v>0</v>
      </c>
      <c r="C20" s="169">
        <v>0</v>
      </c>
      <c r="D20" s="169">
        <f t="shared" si="0"/>
        <v>0</v>
      </c>
      <c r="E20" s="169">
        <f t="shared" si="1"/>
        <v>0</v>
      </c>
    </row>
    <row r="21" spans="1:5" x14ac:dyDescent="0.25">
      <c r="A21" s="175" t="s">
        <v>886</v>
      </c>
      <c r="B21" s="169">
        <v>89268</v>
      </c>
      <c r="C21" s="169">
        <v>0</v>
      </c>
      <c r="D21" s="169">
        <f t="shared" si="0"/>
        <v>0</v>
      </c>
      <c r="E21" s="169">
        <f t="shared" si="1"/>
        <v>0</v>
      </c>
    </row>
    <row r="22" spans="1:5" x14ac:dyDescent="0.25">
      <c r="A22" s="175" t="s">
        <v>887</v>
      </c>
      <c r="B22" s="169">
        <v>0</v>
      </c>
      <c r="C22" s="169">
        <v>0</v>
      </c>
      <c r="D22" s="169">
        <f t="shared" si="0"/>
        <v>0</v>
      </c>
      <c r="E22" s="169">
        <f t="shared" si="1"/>
        <v>0</v>
      </c>
    </row>
    <row r="23" spans="1:5" x14ac:dyDescent="0.25">
      <c r="A23" s="175" t="s">
        <v>888</v>
      </c>
      <c r="B23" s="169">
        <v>0</v>
      </c>
      <c r="C23" s="169">
        <v>0</v>
      </c>
      <c r="D23" s="169">
        <f t="shared" si="0"/>
        <v>0</v>
      </c>
      <c r="E23" s="169">
        <f t="shared" si="1"/>
        <v>0</v>
      </c>
    </row>
    <row r="24" spans="1:5" x14ac:dyDescent="0.25">
      <c r="A24" s="175" t="s">
        <v>889</v>
      </c>
      <c r="B24" s="169">
        <v>0</v>
      </c>
      <c r="C24" s="169">
        <v>0</v>
      </c>
      <c r="D24" s="169">
        <f t="shared" si="0"/>
        <v>0</v>
      </c>
      <c r="E24" s="169">
        <f t="shared" si="1"/>
        <v>0</v>
      </c>
    </row>
    <row r="25" spans="1:5" x14ac:dyDescent="0.25">
      <c r="A25" s="175" t="s">
        <v>890</v>
      </c>
      <c r="B25" s="169">
        <v>50000</v>
      </c>
      <c r="C25" s="141">
        <v>1524950</v>
      </c>
      <c r="D25" s="169">
        <f>B25-C25</f>
        <v>-1474950</v>
      </c>
      <c r="E25" s="169">
        <f>IF(C25=0,0,(B25-C25)/C25)*100</f>
        <v>-96.72120397390078</v>
      </c>
    </row>
    <row r="26" spans="1:5" x14ac:dyDescent="0.25">
      <c r="A26" s="175" t="s">
        <v>891</v>
      </c>
      <c r="B26" s="169">
        <v>0</v>
      </c>
      <c r="C26" s="169">
        <v>0</v>
      </c>
      <c r="D26" s="169">
        <f t="shared" si="0"/>
        <v>0</v>
      </c>
      <c r="E26" s="169">
        <f t="shared" si="1"/>
        <v>0</v>
      </c>
    </row>
    <row r="27" ht="27.6" customHeight="1" spans="1:5" x14ac:dyDescent="0.25">
      <c r="A27" s="175" t="s">
        <v>892</v>
      </c>
      <c r="B27" s="169">
        <v>0</v>
      </c>
      <c r="C27" s="169">
        <v>0</v>
      </c>
      <c r="D27" s="169">
        <f t="shared" si="0"/>
        <v>0</v>
      </c>
      <c r="E27" s="169">
        <f t="shared" si="1"/>
        <v>0</v>
      </c>
    </row>
    <row r="28" spans="1:5" x14ac:dyDescent="0.25">
      <c r="A28" s="175" t="s">
        <v>893</v>
      </c>
      <c r="B28" s="169">
        <v>0</v>
      </c>
      <c r="C28" s="169">
        <v>0</v>
      </c>
      <c r="D28" s="169">
        <f t="shared" si="0"/>
        <v>0</v>
      </c>
      <c r="E28" s="169">
        <f t="shared" si="1"/>
        <v>0</v>
      </c>
    </row>
    <row r="29" spans="1:5" x14ac:dyDescent="0.25">
      <c r="A29" s="175" t="s">
        <v>894</v>
      </c>
      <c r="B29" s="169">
        <v>0</v>
      </c>
      <c r="C29" s="169">
        <v>0</v>
      </c>
      <c r="D29" s="169">
        <f t="shared" si="0"/>
        <v>0</v>
      </c>
      <c r="E29" s="169">
        <f t="shared" si="1"/>
        <v>0</v>
      </c>
    </row>
    <row r="30" spans="1:5" x14ac:dyDescent="0.25">
      <c r="A30" s="175" t="s">
        <v>895</v>
      </c>
      <c r="B30" s="169">
        <v>0</v>
      </c>
      <c r="C30" s="169">
        <v>0</v>
      </c>
      <c r="D30" s="169">
        <f t="shared" si="0"/>
        <v>0</v>
      </c>
      <c r="E30" s="169">
        <f t="shared" si="1"/>
        <v>0</v>
      </c>
    </row>
    <row r="31" spans="1:5" x14ac:dyDescent="0.25">
      <c r="A31" s="383" t="s">
        <v>896</v>
      </c>
      <c r="B31" s="172">
        <f>SUM(B16:B30)</f>
        <v>50000</v>
      </c>
      <c r="C31" s="172">
        <f t="shared" ref="C31" si="3">SUM(C16:C30)</f>
        <v>1524950</v>
      </c>
      <c r="D31" s="172">
        <f t="shared" si="0"/>
        <v>-1474950</v>
      </c>
      <c r="E31" s="172">
        <f t="shared" si="1"/>
        <v>-96.72120397390078</v>
      </c>
    </row>
    <row r="32" spans="1:1" x14ac:dyDescent="0.25">
      <c r="A32" s="408"/>
    </row>
    <row r="33" spans="1:1" x14ac:dyDescent="0.25">
      <c r="A33" s="372" t="s">
        <v>897</v>
      </c>
    </row>
    <row r="34" spans="1:1" x14ac:dyDescent="0.25">
      <c r="A34" s="440" t="s">
        <v>898</v>
      </c>
    </row>
    <row r="35" spans="1:1" x14ac:dyDescent="0.25">
      <c r="A35" s="373" t="s">
        <v>27</v>
      </c>
    </row>
    <row r="36" spans="1:1" x14ac:dyDescent="0.25">
      <c r="A36" s="373" t="s">
        <v>27</v>
      </c>
    </row>
  </sheetData>
  <mergeCells count="4">
    <mergeCell ref="D6:E6"/>
    <mergeCell ref="A6:A7"/>
    <mergeCell ref="B6:B7"/>
    <mergeCell ref="C6:C7"/>
  </mergeCells>
  <pageMargins left="0.7" right="0.7" top="0.75" bottom="0.75" header="0.3" footer="0.3"/>
  <pageSetup paperSize="9" orientation="portrait" horizontalDpi="4294967295" verticalDpi="4294967295" scale="9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8"/>
  <sheetViews>
    <sheetView workbookViewId="0" zoomScale="100" zoomScaleNormal="100">
      <selection activeCell="F21" sqref="F21"/>
    </sheetView>
  </sheetViews>
  <sheetFormatPr defaultRowHeight="13.8" outlineLevelRow="0" outlineLevelCol="0" x14ac:dyDescent="0.25" defaultColWidth="11.44140625" customHeight="1"/>
  <cols>
    <col min="1" max="1" width="48.88671875" style="133" customWidth="1"/>
    <col min="2" max="2" width="12" style="133" customWidth="1"/>
    <col min="3" max="3" width="13.109375" style="133" customWidth="1"/>
    <col min="4" max="4" width="11.44140625" style="133" customWidth="1"/>
    <col min="5" max="5" width="6.77734375" style="133" customWidth="1"/>
    <col min="6" max="16384" width="11.44140625" style="133" customWidth="1"/>
  </cols>
  <sheetData>
    <row r="6" spans="1:5" x14ac:dyDescent="0.25">
      <c r="A6" s="337" t="s">
        <v>399</v>
      </c>
      <c r="B6" s="341" t="s">
        <v>595</v>
      </c>
      <c r="C6" s="341" t="s">
        <v>596</v>
      </c>
      <c r="D6" s="341" t="s">
        <v>899</v>
      </c>
      <c r="E6" s="341"/>
    </row>
    <row r="7" spans="1:5" x14ac:dyDescent="0.25">
      <c r="A7" s="337"/>
      <c r="B7" s="341"/>
      <c r="C7" s="341"/>
      <c r="D7" s="337" t="s">
        <v>619</v>
      </c>
      <c r="E7" s="341" t="s">
        <v>620</v>
      </c>
    </row>
    <row r="8" spans="1:5" x14ac:dyDescent="0.25">
      <c r="A8" s="174" t="s">
        <v>900</v>
      </c>
      <c r="B8" s="169">
        <v>0</v>
      </c>
      <c r="C8" s="169">
        <v>0</v>
      </c>
      <c r="D8" s="169">
        <f>B8-C8</f>
        <v>0</v>
      </c>
      <c r="E8" s="169">
        <f>IF(C8=0,0,(B8-C8)/C8)*100</f>
        <v>0</v>
      </c>
    </row>
    <row r="9" spans="1:5" x14ac:dyDescent="0.25">
      <c r="A9" s="174" t="s">
        <v>901</v>
      </c>
      <c r="B9" s="169">
        <v>0</v>
      </c>
      <c r="C9" s="169">
        <v>0</v>
      </c>
      <c r="D9" s="169">
        <f t="shared" ref="D9:D15" si="0">B9-C9</f>
        <v>0</v>
      </c>
      <c r="E9" s="169">
        <f t="shared" ref="E9:E15" si="1">IF(C9=0,0,(B9-C9)/C9)*100</f>
        <v>0</v>
      </c>
    </row>
    <row r="10" spans="1:5" x14ac:dyDescent="0.25">
      <c r="A10" s="174" t="s">
        <v>902</v>
      </c>
      <c r="B10" s="169">
        <v>0</v>
      </c>
      <c r="C10" s="169">
        <v>0</v>
      </c>
      <c r="D10" s="169">
        <f t="shared" si="0"/>
        <v>0</v>
      </c>
      <c r="E10" s="169">
        <f t="shared" si="1"/>
        <v>0</v>
      </c>
    </row>
    <row r="11" spans="1:5" x14ac:dyDescent="0.25">
      <c r="A11" s="174" t="s">
        <v>903</v>
      </c>
      <c r="B11" s="169">
        <v>0</v>
      </c>
      <c r="C11" s="169">
        <v>0</v>
      </c>
      <c r="D11" s="169">
        <f t="shared" si="0"/>
        <v>0</v>
      </c>
      <c r="E11" s="169">
        <f t="shared" si="1"/>
        <v>0</v>
      </c>
    </row>
    <row r="12" spans="1:5" x14ac:dyDescent="0.25">
      <c r="A12" s="174" t="s">
        <v>904</v>
      </c>
      <c r="B12" s="169">
        <v>49211943</v>
      </c>
      <c r="C12" s="169">
        <v>40063464</v>
      </c>
      <c r="D12" s="169">
        <f t="shared" si="0"/>
        <v>9148479</v>
      </c>
      <c r="E12" s="169">
        <f t="shared" si="1"/>
        <v>22.83496754050024</v>
      </c>
    </row>
    <row r="13" spans="1:5" x14ac:dyDescent="0.25">
      <c r="A13" s="174" t="s">
        <v>905</v>
      </c>
      <c r="B13" s="169">
        <v>0</v>
      </c>
      <c r="C13" s="169">
        <v>3600</v>
      </c>
      <c r="D13" s="169">
        <f t="shared" si="0"/>
        <v>-3600</v>
      </c>
      <c r="E13" s="169">
        <f t="shared" si="1"/>
        <v>-100</v>
      </c>
    </row>
    <row r="14" spans="1:5" x14ac:dyDescent="0.25">
      <c r="A14" s="174" t="s">
        <v>895</v>
      </c>
      <c r="B14" s="169">
        <v>0</v>
      </c>
      <c r="C14" s="169">
        <v>0</v>
      </c>
      <c r="D14" s="169">
        <f t="shared" si="0"/>
        <v>0</v>
      </c>
      <c r="E14" s="169">
        <f t="shared" si="1"/>
        <v>0</v>
      </c>
    </row>
    <row r="15" spans="1:5" x14ac:dyDescent="0.25">
      <c r="A15" s="441" t="s">
        <v>435</v>
      </c>
      <c r="B15" s="172">
        <f>SUM(B8:B14)</f>
        <v>49211943</v>
      </c>
      <c r="C15" s="172">
        <f t="shared" ref="C15" si="2">SUM(C8:C14)</f>
        <v>40067064</v>
      </c>
      <c r="D15" s="172">
        <f t="shared" si="0"/>
        <v>9144879</v>
      </c>
      <c r="E15" s="172">
        <f t="shared" si="1"/>
        <v>22.823930897457323</v>
      </c>
    </row>
    <row r="16" spans="1:1" x14ac:dyDescent="0.25">
      <c r="A16" s="187"/>
    </row>
    <row r="17" ht="14.4" customHeight="1" spans="1:1" x14ac:dyDescent="0.25">
      <c r="A17" s="411" t="s">
        <v>471</v>
      </c>
    </row>
    <row r="18" spans="1:1" x14ac:dyDescent="0.25">
      <c r="A18" s="186" t="s">
        <v>906</v>
      </c>
    </row>
  </sheetData>
  <mergeCells count="4">
    <mergeCell ref="D6:E6"/>
    <mergeCell ref="A6:A7"/>
    <mergeCell ref="B6:B7"/>
    <mergeCell ref="C6:C7"/>
  </mergeCells>
  <pageMargins left="0.7" right="0.7" top="0.75" bottom="0.75" header="0.3" footer="0.3"/>
  <pageSetup paperSize="9" orientation="portrait" horizontalDpi="4294967295" verticalDpi="4294967295" scale="84" fitToWidth="1" fitToHeight="1" firstPageNumber="1" useFirstPageNumber="1" copies="1"/>
</worksheet>
</file>

<file path=xl/worksheets/sheet40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6:E31"/>
  <sheetViews>
    <sheetView workbookViewId="0" zoomScale="100" zoomScaleNormal="100">
      <selection activeCell="K18" sqref="K18"/>
    </sheetView>
  </sheetViews>
  <sheetFormatPr defaultRowHeight="13.8" outlineLevelRow="0" outlineLevelCol="0" ns2:dyDescent="0.25" defaultColWidth="11.44140625" customHeight="1"/>
  <cols>
    <col min="1" max="1" width="45.5546875" style="133" customWidth="1"/>
    <col min="2" max="3" width="11.44140625" style="133" customWidth="1"/>
    <col min="4" max="4" width="10.44140625" style="133" customWidth="1"/>
    <col min="5" max="5" width="6.44140625" style="133" customWidth="1"/>
    <col min="6" max="16384" width="11.44140625" style="133" customWidth="1"/>
  </cols>
  <sheetData>
    <row r="6" spans="1:5" ns2:dyDescent="0.25">
      <c r="A6" s="337" t="s">
        <v>399</v>
      </c>
      <c r="B6" s="341" t="s">
        <v>595</v>
      </c>
      <c r="C6" s="341" t="s">
        <v>596</v>
      </c>
      <c r="D6" s="341" t="s">
        <v>618</v>
      </c>
      <c r="E6" s="341"/>
    </row>
    <row r="7" spans="1:5" ns2:dyDescent="0.25">
      <c r="A7" s="337"/>
      <c r="B7" s="341"/>
      <c r="C7" s="341"/>
      <c r="D7" s="341" t="s">
        <v>619</v>
      </c>
      <c r="E7" s="341" t="s">
        <v>620</v>
      </c>
    </row>
    <row r="8" spans="1:5" ns2:dyDescent="0.25">
      <c r="A8" s="174" t="s">
        <v>907</v>
      </c>
      <c r="B8" s="169">
        <v>0</v>
      </c>
      <c r="C8" s="169">
        <v>0</v>
      </c>
      <c r="D8" s="169">
        <f>B8-C8</f>
        <v>0</v>
      </c>
      <c r="E8" s="169">
        <f>IF(C8=0,0,(B8-C8)/C8)*100</f>
        <v>0</v>
      </c>
    </row>
    <row r="9" spans="1:5" ns2:dyDescent="0.25">
      <c r="A9" s="174" t="s">
        <v>908</v>
      </c>
      <c r="B9" s="169">
        <v>516000</v>
      </c>
      <c r="C9" s="169">
        <v>17767356</v>
      </c>
      <c r="D9" s="169">
        <f t="shared" ref="D9:D25" si="0">B9-C9</f>
        <v>-17317356</v>
      </c>
      <c r="E9" s="169">
        <f t="shared" ref="E9:E25" si="1">IF(C9=0,0,(B9-C9)/C9)*100</f>
        <v>-97.46726524756976</v>
      </c>
    </row>
    <row r="10" spans="1:5" ns2:dyDescent="0.25">
      <c r="A10" s="174" t="s">
        <v>909</v>
      </c>
      <c r="B10" s="169">
        <v>0</v>
      </c>
      <c r="C10" s="169">
        <v>0</v>
      </c>
      <c r="D10" s="169">
        <f t="shared" si="0"/>
        <v>0</v>
      </c>
      <c r="E10" s="169">
        <f t="shared" si="1"/>
        <v>0</v>
      </c>
    </row>
    <row r="11" spans="1:5" ns2:dyDescent="0.25">
      <c r="A11" s="174" t="s">
        <v>910</v>
      </c>
      <c r="B11" s="169">
        <v>0</v>
      </c>
      <c r="C11" s="169">
        <v>0</v>
      </c>
      <c r="D11" s="169">
        <f t="shared" si="0"/>
        <v>0</v>
      </c>
      <c r="E11" s="169">
        <f t="shared" si="1"/>
        <v>0</v>
      </c>
    </row>
    <row r="12" spans="1:5" ns2:dyDescent="0.25">
      <c r="A12" s="174" t="s">
        <v>911</v>
      </c>
      <c r="B12" s="169">
        <v>0</v>
      </c>
      <c r="C12" s="169">
        <v>0</v>
      </c>
      <c r="D12" s="169">
        <f t="shared" si="0"/>
        <v>0</v>
      </c>
      <c r="E12" s="169">
        <f t="shared" si="1"/>
        <v>0</v>
      </c>
    </row>
    <row r="13" spans="1:5" ns2:dyDescent="0.25">
      <c r="A13" s="174" t="s">
        <v>912</v>
      </c>
      <c r="B13" s="169">
        <v>0</v>
      </c>
      <c r="C13" s="169">
        <v>0</v>
      </c>
      <c r="D13" s="169">
        <f t="shared" si="0"/>
        <v>0</v>
      </c>
      <c r="E13" s="169">
        <f t="shared" si="1"/>
        <v>0</v>
      </c>
    </row>
    <row r="14" spans="1:5" ns2:dyDescent="0.25">
      <c r="A14" s="174" t="s">
        <v>913</v>
      </c>
      <c r="B14" s="169">
        <v>0</v>
      </c>
      <c r="C14" s="169">
        <v>8533784</v>
      </c>
      <c r="D14" s="169">
        <f t="shared" si="0"/>
        <v>-7823784</v>
      </c>
      <c r="E14" s="169">
        <f t="shared" si="1"/>
        <v>-91.68012689329845</v>
      </c>
    </row>
    <row r="15" spans="1:5" ns2:dyDescent="0.25">
      <c r="A15" s="174" t="s">
        <v>914</v>
      </c>
      <c r="B15" s="169">
        <v>2550000</v>
      </c>
      <c r="C15" s="169">
        <v>0</v>
      </c>
      <c r="D15" s="169">
        <f t="shared" si="0"/>
        <v>0</v>
      </c>
      <c r="E15" s="169">
        <f t="shared" si="1"/>
        <v>0</v>
      </c>
    </row>
    <row r="16" spans="1:5" ns2:dyDescent="0.25">
      <c r="A16" s="174" t="s">
        <v>915</v>
      </c>
      <c r="B16" s="169">
        <v>7300</v>
      </c>
      <c r="C16" s="169">
        <v>108478</v>
      </c>
      <c r="D16" s="169">
        <f t="shared" si="0"/>
        <v>156145</v>
      </c>
      <c r="E16" s="169">
        <f t="shared" si="1"/>
        <v>143.9416287173436</v>
      </c>
    </row>
    <row r="17" spans="1:5" ns2:dyDescent="0.25">
      <c r="A17" s="174" t="s">
        <v>916</v>
      </c>
      <c r="B17" s="169">
        <v>450000</v>
      </c>
      <c r="C17" s="169">
        <v>4826500</v>
      </c>
      <c r="D17" s="169">
        <f t="shared" si="0"/>
        <v>28825399</v>
      </c>
      <c r="E17" s="169">
        <f t="shared" si="1"/>
        <v>597.2319278980627</v>
      </c>
    </row>
    <row r="18" spans="1:5" ns2:dyDescent="0.25">
      <c r="A18" s="174" t="s">
        <v>917</v>
      </c>
      <c r="B18" s="169">
        <v>145000</v>
      </c>
      <c r="C18" s="169">
        <v>0</v>
      </c>
      <c r="D18" s="169">
        <f t="shared" si="0"/>
        <v>0</v>
      </c>
      <c r="E18" s="169">
        <f t="shared" si="1"/>
        <v>0</v>
      </c>
    </row>
    <row r="19" ht="27.6" customHeight="1" spans="1:5" ns2:dyDescent="0.25">
      <c r="A19" s="174" t="s">
        <v>918</v>
      </c>
      <c r="B19" s="169">
        <v>0</v>
      </c>
      <c r="C19" s="169">
        <v>0</v>
      </c>
      <c r="D19" s="169">
        <f t="shared" si="0"/>
        <v>165001</v>
      </c>
      <c r="E19" s="169">
        <f t="shared" si="1"/>
        <v>0</v>
      </c>
    </row>
    <row r="20" spans="1:5" ns2:dyDescent="0.25">
      <c r="A20" s="174" t="s">
        <v>919</v>
      </c>
      <c r="B20" s="169">
        <v>0</v>
      </c>
      <c r="C20" s="169">
        <v>0</v>
      </c>
      <c r="D20" s="169">
        <f t="shared" si="0"/>
        <v>0</v>
      </c>
      <c r="E20" s="169">
        <f t="shared" si="1"/>
        <v>0</v>
      </c>
    </row>
    <row r="21" spans="1:5" ns2:dyDescent="0.25">
      <c r="A21" s="174" t="s">
        <v>920</v>
      </c>
      <c r="B21" s="169">
        <v>0</v>
      </c>
      <c r="C21" s="169">
        <v>0</v>
      </c>
      <c r="D21" s="169">
        <f t="shared" si="0"/>
        <v>0</v>
      </c>
      <c r="E21" s="169">
        <f t="shared" si="1"/>
        <v>0</v>
      </c>
    </row>
    <row r="22" spans="1:5" ns2:dyDescent="0.25">
      <c r="A22" s="174" t="s">
        <v>921</v>
      </c>
      <c r="B22" s="169">
        <v>0</v>
      </c>
      <c r="C22" s="169">
        <v>0</v>
      </c>
      <c r="D22" s="169">
        <f t="shared" si="0"/>
        <v>0</v>
      </c>
      <c r="E22" s="169">
        <f t="shared" si="1"/>
        <v>0</v>
      </c>
    </row>
    <row r="23" spans="1:5" ns2:dyDescent="0.25">
      <c r="A23" s="174" t="s">
        <v>922</v>
      </c>
      <c r="B23" s="169">
        <v>1298000</v>
      </c>
      <c r="C23" s="169">
        <v>22817000</v>
      </c>
      <c r="D23" s="169">
        <f t="shared" si="0"/>
        <v>-22817000</v>
      </c>
      <c r="E23" s="169">
        <f t="shared" si="1"/>
        <v>-100</v>
      </c>
    </row>
    <row r="24" spans="1:5" ns2:dyDescent="0.25">
      <c r="A24" s="174" t="inlineStr">
        <is>
          <t xml:space="preserve">Réception</t>
        </is>
      </c>
      <c r="B24" s="169">
        <v>1553000</v>
      </c>
      <c r="C24" s="169"/>
      <c r="D24" s="169">
        <f t="shared" si="0"/>
        <v>0</v>
      </c>
      <c r="E24" s="169">
        <f t="shared" si="1"/>
        <v>0</v>
      </c>
    </row>
    <row r="25" spans="1:5" ns2:dyDescent="0.25">
      <c r="A25" s="209" t="s">
        <v>435</v>
      </c>
      <c r="B25" s="172">
        <f>SUM(B8:B24)</f>
        <v>35241523</v>
      </c>
      <c r="C25" s="172">
        <f t="shared" ref="C25" si="2">SUM(C8:C24)</f>
        <v>54053118</v>
      </c>
      <c r="D25" s="172">
        <f t="shared" si="0"/>
        <v>-18811595</v>
      </c>
      <c r="E25" s="172">
        <f t="shared" si="1"/>
        <v>-34.80205341715902</v>
      </c>
    </row>
    <row r="27" ht="14.4" customHeight="1" spans="1:2" ns2:dyDescent="0.25">
      <c r="A27" s="411" t="s">
        <v>471</v>
      </c>
      <c r="B27" s="442"/>
    </row>
    <row r="28" ht="1.2" customHeight="1" spans="1:1" ns2:dyDescent="0.25">
      <c r="A28" s="443"/>
    </row>
    <row r="29" ht="35.7" customHeight="1" spans="1:5" ns2:dyDescent="0.25">
      <c r="A29" s="444" t="s">
        <v>923</v>
      </c>
      <c r="B29" s="444"/>
      <c r="C29" s="444"/>
      <c r="D29" s="444"/>
      <c r="E29" s="444"/>
    </row>
    <row r="30" ht="14.4" customHeight="1" spans="1:3" ns2:dyDescent="0.25">
      <c r="A30" s="445"/>
      <c r="B30" s="445"/>
      <c r="C30" s="445"/>
    </row>
    <row r="31" ht="14.4" customHeight="1" spans="1:1" ns2:dyDescent="0.25">
      <c r="A31" s="443"/>
    </row>
  </sheetData>
  <mergeCells count="5">
    <mergeCell ref="D6:E6"/>
    <mergeCell ref="A6:A7"/>
    <mergeCell ref="B6:B7"/>
    <mergeCell ref="C6:C7"/>
    <mergeCell ref="A29:E29"/>
  </mergeCells>
  <pageMargins left="0.7" right="0.7" top="0.75" bottom="0.75" header="0.3" footer="0.3"/>
  <pageSetup paperSize="9" orientation="portrait" horizontalDpi="4294967295" verticalDpi="4294967295" scale="90" fitToWidth="1" fitToHeight="1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9"/>
  <sheetViews>
    <sheetView workbookViewId="0" zoomScale="100" zoomScaleNormal="100">
      <selection activeCell="B8" sqref="B8"/>
    </sheetView>
  </sheetViews>
  <sheetFormatPr defaultRowHeight="13.8" outlineLevelRow="0" outlineLevelCol="0" x14ac:dyDescent="0.25" defaultColWidth="11.44140625" customHeight="1"/>
  <cols>
    <col min="1" max="1" width="42.88671875" style="133" customWidth="1"/>
    <col min="2" max="16384" width="11.44140625" style="133" customWidth="1"/>
  </cols>
  <sheetData>
    <row r="5" ht="14.4" customHeight="1" x14ac:dyDescent="0.25"/>
    <row r="6" ht="14.4" customHeight="1" spans="1:5" x14ac:dyDescent="0.25">
      <c r="A6" s="446" t="s">
        <v>399</v>
      </c>
      <c r="B6" s="447" t="s">
        <v>595</v>
      </c>
      <c r="C6" s="447" t="s">
        <v>596</v>
      </c>
      <c r="D6" s="448" t="s">
        <v>618</v>
      </c>
      <c r="E6" s="449"/>
    </row>
    <row r="7" ht="14.4" customHeight="1" spans="1:5" x14ac:dyDescent="0.25">
      <c r="A7" s="450"/>
      <c r="B7" s="451"/>
      <c r="C7" s="451"/>
      <c r="D7" s="452" t="s">
        <v>619</v>
      </c>
      <c r="E7" s="452" t="s">
        <v>620</v>
      </c>
    </row>
    <row r="8" ht="14.4" customHeight="1" spans="1:5" x14ac:dyDescent="0.25">
      <c r="A8" s="453" t="s">
        <v>924</v>
      </c>
      <c r="B8" s="454">
        <v>640</v>
      </c>
      <c r="C8" s="454">
        <v>0</v>
      </c>
      <c r="D8" s="454">
        <f>B8-C8</f>
        <v>0</v>
      </c>
      <c r="E8" s="454">
        <f>IF(C8=0,0,(B8-C8)/C8)*100</f>
        <v>0</v>
      </c>
    </row>
    <row r="9" ht="14.4" customHeight="1" spans="1:5" x14ac:dyDescent="0.25">
      <c r="A9" s="453" t="s">
        <v>925</v>
      </c>
      <c r="B9" s="454">
        <v>0</v>
      </c>
      <c r="C9" s="454">
        <v>0</v>
      </c>
      <c r="D9" s="454">
        <f t="shared" ref="D9:D14" si="0">B9-C9</f>
        <v>0</v>
      </c>
      <c r="E9" s="454">
        <f t="shared" ref="E9:E14" si="1">IF(C9=0,0,(B9-C9)/C9)*100</f>
        <v>0</v>
      </c>
    </row>
    <row r="10" ht="14.4" customHeight="1" spans="1:5" x14ac:dyDescent="0.25">
      <c r="A10" s="453" t="s">
        <v>926</v>
      </c>
      <c r="B10" s="454">
        <v>0</v>
      </c>
      <c r="C10" s="454">
        <v>132300</v>
      </c>
      <c r="D10" s="454">
        <f t="shared" si="0"/>
        <v>-132300</v>
      </c>
      <c r="E10" s="454">
        <f t="shared" si="1"/>
        <v>-100</v>
      </c>
    </row>
    <row r="11" ht="14.4" customHeight="1" spans="1:5" x14ac:dyDescent="0.25">
      <c r="A11" s="453" t="s">
        <v>927</v>
      </c>
      <c r="B11" s="454">
        <v>0</v>
      </c>
      <c r="C11" s="454">
        <v>0</v>
      </c>
      <c r="D11" s="454">
        <f t="shared" si="0"/>
        <v>0</v>
      </c>
      <c r="E11" s="454">
        <f t="shared" si="1"/>
        <v>0</v>
      </c>
    </row>
    <row r="12" ht="14.4" customHeight="1" spans="1:5" x14ac:dyDescent="0.25">
      <c r="A12" s="453" t="s">
        <v>928</v>
      </c>
      <c r="B12" s="454">
        <v>0</v>
      </c>
      <c r="C12" s="454">
        <v>0</v>
      </c>
      <c r="D12" s="454">
        <f t="shared" si="0"/>
        <v>0</v>
      </c>
      <c r="E12" s="454">
        <f t="shared" si="1"/>
        <v>0</v>
      </c>
    </row>
    <row r="13" ht="14.4" customHeight="1" spans="1:5" x14ac:dyDescent="0.25">
      <c r="A13" s="453" t="s">
        <v>929</v>
      </c>
      <c r="B13" s="454">
        <v>0</v>
      </c>
      <c r="C13" s="454">
        <v>0</v>
      </c>
      <c r="D13" s="454">
        <f t="shared" si="0"/>
        <v>0</v>
      </c>
      <c r="E13" s="454">
        <f t="shared" si="1"/>
        <v>0</v>
      </c>
    </row>
    <row r="14" ht="14.4" customHeight="1" spans="1:5" x14ac:dyDescent="0.25">
      <c r="A14" s="455" t="s">
        <v>435</v>
      </c>
      <c r="B14" s="456">
        <f>SUM(B8:B13)</f>
        <v>0</v>
      </c>
      <c r="C14" s="456">
        <f t="shared" ref="C14" si="2">SUM(C8:C13)</f>
        <v>132300</v>
      </c>
      <c r="D14" s="456">
        <f t="shared" si="0"/>
        <v>-132300</v>
      </c>
      <c r="E14" s="456">
        <f t="shared" si="1"/>
        <v>-100</v>
      </c>
    </row>
    <row r="16" ht="15" customHeight="1" spans="1:5" x14ac:dyDescent="0.25">
      <c r="A16" s="457" t="s">
        <v>930</v>
      </c>
      <c r="B16" s="457"/>
      <c r="C16" s="457"/>
      <c r="D16" s="457"/>
      <c r="E16" s="457"/>
    </row>
    <row r="17" ht="14.4" customHeight="1" spans="1:1" x14ac:dyDescent="0.25">
      <c r="A17" s="299" t="s">
        <v>471</v>
      </c>
    </row>
    <row r="18" spans="1:5" x14ac:dyDescent="0.25">
      <c r="A18" s="300" t="s">
        <v>931</v>
      </c>
      <c r="B18" s="300"/>
      <c r="C18" s="300"/>
      <c r="D18" s="300"/>
      <c r="E18" s="300"/>
    </row>
    <row r="19" spans="1:5" x14ac:dyDescent="0.25">
      <c r="A19" s="300" t="s">
        <v>932</v>
      </c>
      <c r="B19" s="300"/>
      <c r="C19" s="300"/>
      <c r="D19" s="300"/>
      <c r="E19" s="300"/>
    </row>
  </sheetData>
  <mergeCells count="7">
    <mergeCell ref="D6:E6"/>
    <mergeCell ref="A6:A7"/>
    <mergeCell ref="B6:B7"/>
    <mergeCell ref="C6:C7"/>
    <mergeCell ref="A16:E16"/>
    <mergeCell ref="A18:E18"/>
    <mergeCell ref="A19:E19"/>
  </mergeCells>
  <pageMargins left="0.7" right="0.7" top="0.75" bottom="0.75" header="0.3" footer="0.3"/>
  <pageSetup paperSize="9" orientation="portrait" horizontalDpi="4294967295" verticalDpi="4294967295" scale="87" fitToWidth="1" fitToHeight="1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22"/>
  <sheetViews>
    <sheetView workbookViewId="0" zoomScale="100" zoomScaleNormal="100">
      <selection activeCell="A28" sqref="A28"/>
    </sheetView>
  </sheetViews>
  <sheetFormatPr defaultRowHeight="13.8" outlineLevelRow="0" outlineLevelCol="0" x14ac:dyDescent="0.25" defaultColWidth="50.21875" customHeight="1"/>
  <cols>
    <col min="1" max="1" width="50.21875" style="133" customWidth="1"/>
    <col min="2" max="2" width="7.88671875" style="133" customWidth="1"/>
    <col min="3" max="3" width="7.77734375" style="133" customWidth="1"/>
    <col min="4" max="4" width="8.77734375" style="133" customWidth="1"/>
    <col min="5" max="5" width="5.77734375" style="133" customWidth="1"/>
    <col min="6" max="6" width="14.88671875" style="133" customWidth="1"/>
    <col min="7" max="7" width="10" style="133" customWidth="1"/>
    <col min="8" max="8" width="11" style="133" customWidth="1"/>
    <col min="9" max="16384" width="50.21875" style="133" customWidth="1"/>
  </cols>
  <sheetData>
    <row r="6" spans="1:5" x14ac:dyDescent="0.25">
      <c r="A6" s="432" t="s">
        <v>399</v>
      </c>
      <c r="B6" s="432" t="s">
        <v>595</v>
      </c>
      <c r="C6" s="432" t="s">
        <v>596</v>
      </c>
      <c r="D6" s="432" t="s">
        <v>618</v>
      </c>
      <c r="E6" s="432"/>
    </row>
    <row r="7" spans="1:5" x14ac:dyDescent="0.25">
      <c r="A7" s="432"/>
      <c r="B7" s="432"/>
      <c r="C7" s="432"/>
      <c r="D7" s="432" t="s">
        <v>619</v>
      </c>
      <c r="E7" s="432" t="s">
        <v>620</v>
      </c>
    </row>
    <row r="8" spans="1:5" x14ac:dyDescent="0.25">
      <c r="A8" s="458" t="s">
        <v>933</v>
      </c>
      <c r="B8" s="174">
        <v>0</v>
      </c>
      <c r="C8" s="174">
        <v>0</v>
      </c>
      <c r="D8" s="174">
        <f>B8-C8</f>
        <v>0</v>
      </c>
      <c r="E8" s="174">
        <f>IF(C8=0,0,(B8-C8)/C8)*100</f>
        <v>0</v>
      </c>
    </row>
    <row r="9" spans="1:5" x14ac:dyDescent="0.25">
      <c r="A9" s="458" t="s">
        <v>934</v>
      </c>
      <c r="B9" s="458">
        <v>0</v>
      </c>
      <c r="C9" s="174">
        <v>0</v>
      </c>
      <c r="D9" s="174">
        <f t="shared" ref="D9:D16" si="0">B9-C9</f>
        <v>0</v>
      </c>
      <c r="E9" s="174">
        <f t="shared" ref="E9:E16" si="1">IF(C9=0,0,(B9-C9)/C9)*100</f>
        <v>0</v>
      </c>
    </row>
    <row r="10" spans="1:5" x14ac:dyDescent="0.25">
      <c r="A10" s="458" t="s">
        <v>935</v>
      </c>
      <c r="B10" s="174">
        <v>762500</v>
      </c>
      <c r="C10" s="174">
        <v>0</v>
      </c>
      <c r="D10" s="174">
        <f t="shared" si="0"/>
        <v>762500</v>
      </c>
      <c r="E10" s="174">
        <f t="shared" si="1"/>
        <v>0</v>
      </c>
    </row>
    <row r="11" spans="1:5" x14ac:dyDescent="0.25">
      <c r="A11" s="458" t="s">
        <v>936</v>
      </c>
      <c r="B11" s="174">
        <v>0</v>
      </c>
      <c r="C11" s="174">
        <v>3160680</v>
      </c>
      <c r="D11" s="174">
        <f t="shared" si="0"/>
        <v>-3160680</v>
      </c>
      <c r="E11" s="174">
        <f t="shared" si="1"/>
        <v>-100</v>
      </c>
    </row>
    <row r="12" spans="1:5" x14ac:dyDescent="0.25">
      <c r="A12" s="458" t="s">
        <v>937</v>
      </c>
      <c r="B12" s="174">
        <v>0</v>
      </c>
      <c r="C12" s="174">
        <v>0</v>
      </c>
      <c r="D12" s="174">
        <f t="shared" si="0"/>
        <v>0</v>
      </c>
      <c r="E12" s="174">
        <f t="shared" si="1"/>
        <v>0</v>
      </c>
    </row>
    <row r="13" spans="1:5" x14ac:dyDescent="0.25">
      <c r="A13" s="458" t="s">
        <v>938</v>
      </c>
      <c r="B13" s="174">
        <v>0</v>
      </c>
      <c r="C13" s="174">
        <v>0</v>
      </c>
      <c r="D13" s="174">
        <f t="shared" si="0"/>
        <v>0</v>
      </c>
      <c r="E13" s="174">
        <f t="shared" si="1"/>
        <v>0</v>
      </c>
    </row>
    <row r="14" ht="27.6" customHeight="1" spans="1:5" x14ac:dyDescent="0.25">
      <c r="A14" s="458" t="s">
        <v>939</v>
      </c>
      <c r="B14" s="458">
        <v>0</v>
      </c>
      <c r="C14" s="458">
        <v>0</v>
      </c>
      <c r="D14" s="458">
        <f t="shared" si="0"/>
        <v>0</v>
      </c>
      <c r="E14" s="458">
        <f t="shared" si="1"/>
        <v>0</v>
      </c>
    </row>
    <row r="15" spans="1:5" x14ac:dyDescent="0.25">
      <c r="A15" s="174"/>
      <c r="B15" s="174"/>
      <c r="C15" s="174"/>
      <c r="D15" s="174">
        <f t="shared" si="0"/>
        <v>0</v>
      </c>
      <c r="E15" s="174">
        <f t="shared" si="1"/>
        <v>0</v>
      </c>
    </row>
    <row r="16" spans="1:5" x14ac:dyDescent="0.25">
      <c r="A16" s="312" t="s">
        <v>435</v>
      </c>
      <c r="B16" s="172">
        <f>SUM(B8:B14)</f>
        <v>762500</v>
      </c>
      <c r="C16" s="172">
        <f t="shared" ref="C16" si="2">SUM(C8:C14)</f>
        <v>3160680</v>
      </c>
      <c r="D16" s="172">
        <f t="shared" si="0"/>
        <v>-2398180</v>
      </c>
      <c r="E16" s="172">
        <f t="shared" si="1"/>
        <v>-75.87544452459596</v>
      </c>
    </row>
    <row r="17" spans="1:1" x14ac:dyDescent="0.25">
      <c r="A17" s="187"/>
    </row>
    <row r="18" spans="1:1" x14ac:dyDescent="0.25">
      <c r="A18" s="459" t="s">
        <v>940</v>
      </c>
    </row>
    <row r="19" spans="1:1" x14ac:dyDescent="0.25">
      <c r="A19" s="408"/>
    </row>
    <row r="20" spans="1:5" x14ac:dyDescent="0.25">
      <c r="A20" s="460" t="s">
        <v>941</v>
      </c>
      <c r="B20" s="460"/>
      <c r="C20" s="460"/>
      <c r="D20" s="460"/>
      <c r="E20" s="460"/>
    </row>
    <row r="21" spans="1:5" x14ac:dyDescent="0.25">
      <c r="A21" s="461" t="s">
        <v>27</v>
      </c>
      <c r="B21" s="461"/>
      <c r="C21" s="461"/>
      <c r="D21" s="461"/>
      <c r="E21" s="461"/>
    </row>
    <row r="22" spans="1:5" x14ac:dyDescent="0.25">
      <c r="A22" s="460" t="s">
        <v>27</v>
      </c>
      <c r="B22" s="460"/>
      <c r="C22" s="460"/>
      <c r="D22" s="460"/>
      <c r="E22" s="460"/>
    </row>
  </sheetData>
  <mergeCells count="7">
    <mergeCell ref="D6:E6"/>
    <mergeCell ref="A6:A7"/>
    <mergeCell ref="B6:B7"/>
    <mergeCell ref="C6:C7"/>
    <mergeCell ref="A20:E20"/>
    <mergeCell ref="A21:E21"/>
    <mergeCell ref="A22:E22"/>
  </mergeCells>
  <pageMargins left="0.7" right="0.7" top="0.75" bottom="0.75" header="0.3" footer="0.3"/>
  <pageSetup paperSize="9" orientation="portrait" horizontalDpi="4294967295" verticalDpi="4294967295" scale="92" fitToWidth="1" fitToHeight="1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23"/>
  <sheetViews>
    <sheetView workbookViewId="0" zoomScale="100" zoomScaleNormal="100">
      <selection activeCell="D1" sqref="D1"/>
    </sheetView>
  </sheetViews>
  <sheetFormatPr defaultRowHeight="13.8" outlineLevelRow="0" outlineLevelCol="0" x14ac:dyDescent="0.25" defaultColWidth="11.44140625" customHeight="1"/>
  <cols>
    <col min="1" max="1" width="45" style="133" customWidth="1"/>
    <col min="2" max="16384" width="11.44140625" style="133" customWidth="1"/>
  </cols>
  <sheetData>
    <row r="6" spans="1:5" x14ac:dyDescent="0.25">
      <c r="A6" s="431" t="s">
        <v>399</v>
      </c>
      <c r="B6" s="432" t="s">
        <v>595</v>
      </c>
      <c r="C6" s="432" t="s">
        <v>596</v>
      </c>
      <c r="D6" s="432" t="s">
        <v>618</v>
      </c>
      <c r="E6" s="432"/>
    </row>
    <row r="7" spans="1:5" x14ac:dyDescent="0.25">
      <c r="A7" s="433"/>
      <c r="B7" s="432"/>
      <c r="C7" s="432"/>
      <c r="D7" s="432" t="s">
        <v>619</v>
      </c>
      <c r="E7" s="432" t="s">
        <v>620</v>
      </c>
    </row>
    <row r="8" spans="1:5" x14ac:dyDescent="0.25">
      <c r="A8" s="462" t="s">
        <v>942</v>
      </c>
      <c r="B8" s="463">
        <v>6685920</v>
      </c>
      <c r="C8" s="463">
        <v>0</v>
      </c>
      <c r="D8" s="463">
        <f>B8-C8</f>
        <v>0</v>
      </c>
      <c r="E8" s="463">
        <f>IF(C8=0,0,(B8-C8)/C8)*100</f>
        <v>0</v>
      </c>
    </row>
    <row r="9" ht="27.6" customHeight="1" spans="1:5" x14ac:dyDescent="0.25">
      <c r="A9" s="458" t="s">
        <v>943</v>
      </c>
      <c r="B9" s="464">
        <v>6965000</v>
      </c>
      <c r="C9" s="169">
        <v>0</v>
      </c>
      <c r="D9" s="463">
        <f t="shared" ref="D9:D17" si="0">B9-C9</f>
        <v>0</v>
      </c>
      <c r="E9" s="463">
        <f t="shared" ref="E9:E17" si="1">IF(C9=0,0,(B9-C9)/C9)*100</f>
        <v>0</v>
      </c>
    </row>
    <row r="10" spans="1:5" x14ac:dyDescent="0.25">
      <c r="A10" s="458" t="s">
        <v>944</v>
      </c>
      <c r="B10" s="464">
        <v>0</v>
      </c>
      <c r="C10" s="169">
        <v>0</v>
      </c>
      <c r="D10" s="463">
        <f t="shared" si="0"/>
        <v>0</v>
      </c>
      <c r="E10" s="463">
        <f t="shared" si="1"/>
        <v>0</v>
      </c>
    </row>
    <row r="11" spans="1:5" x14ac:dyDescent="0.25">
      <c r="A11" s="458" t="s">
        <v>945</v>
      </c>
      <c r="B11" s="464">
        <v>669246</v>
      </c>
      <c r="C11" s="169">
        <v>0</v>
      </c>
      <c r="D11" s="463">
        <f t="shared" si="0"/>
        <v>0</v>
      </c>
      <c r="E11" s="463">
        <f t="shared" si="1"/>
        <v>0</v>
      </c>
    </row>
    <row r="12" spans="1:5" x14ac:dyDescent="0.25">
      <c r="A12" s="458" t="s">
        <v>946</v>
      </c>
      <c r="B12" s="464">
        <v>0</v>
      </c>
      <c r="C12" s="169">
        <v>0</v>
      </c>
      <c r="D12" s="463">
        <f t="shared" si="0"/>
        <v>0</v>
      </c>
      <c r="E12" s="463">
        <f t="shared" si="1"/>
        <v>0</v>
      </c>
    </row>
    <row r="13" spans="1:5" x14ac:dyDescent="0.25">
      <c r="A13" s="458" t="s">
        <v>947</v>
      </c>
      <c r="B13" s="464">
        <v>0</v>
      </c>
      <c r="C13" s="169">
        <v>0</v>
      </c>
      <c r="D13" s="463">
        <f t="shared" si="0"/>
        <v>0</v>
      </c>
      <c r="E13" s="463">
        <f t="shared" si="1"/>
        <v>0</v>
      </c>
    </row>
    <row r="14" spans="1:5" x14ac:dyDescent="0.25">
      <c r="A14" s="458" t="s">
        <v>948</v>
      </c>
      <c r="B14" s="464">
        <v>0</v>
      </c>
      <c r="C14" s="169">
        <v>0</v>
      </c>
      <c r="D14" s="463">
        <f t="shared" si="0"/>
        <v>0</v>
      </c>
      <c r="E14" s="463">
        <f t="shared" si="1"/>
        <v>0</v>
      </c>
    </row>
    <row r="15" spans="1:5" x14ac:dyDescent="0.25">
      <c r="A15" s="458" t="s">
        <v>949</v>
      </c>
      <c r="B15" s="464">
        <v>0</v>
      </c>
      <c r="C15" s="169">
        <v>0</v>
      </c>
      <c r="D15" s="463">
        <f t="shared" si="0"/>
        <v>0</v>
      </c>
      <c r="E15" s="463">
        <f t="shared" si="1"/>
        <v>0</v>
      </c>
    </row>
    <row r="16" ht="24.75" customHeight="1" spans="1:5" x14ac:dyDescent="0.25">
      <c r="A16" s="458" t="s">
        <v>950</v>
      </c>
      <c r="B16" s="464">
        <v>0</v>
      </c>
      <c r="C16" s="169">
        <v>0</v>
      </c>
      <c r="D16" s="463">
        <f t="shared" si="0"/>
        <v>0</v>
      </c>
      <c r="E16" s="463">
        <f t="shared" si="1"/>
        <v>0</v>
      </c>
    </row>
    <row r="17" spans="1:6" x14ac:dyDescent="0.25">
      <c r="A17" s="312" t="s">
        <v>435</v>
      </c>
      <c r="B17" s="406">
        <f>SUM(B8:B16)</f>
        <v>0</v>
      </c>
      <c r="C17" s="406">
        <f t="shared" ref="C17" si="2">SUM(C8:C16)</f>
        <v>0</v>
      </c>
      <c r="D17" s="465">
        <f t="shared" si="0"/>
        <v>0</v>
      </c>
      <c r="E17" s="465">
        <f t="shared" si="1"/>
        <v>0</v>
      </c>
      <c r="F17" s="466"/>
    </row>
    <row r="18" spans="1:2" x14ac:dyDescent="0.25">
      <c r="A18" s="230"/>
      <c r="B18" s="230"/>
    </row>
    <row r="19" spans="1:5" x14ac:dyDescent="0.25">
      <c r="A19" s="467" t="s">
        <v>951</v>
      </c>
      <c r="B19" s="467"/>
      <c r="C19" s="467"/>
      <c r="D19" s="467"/>
      <c r="E19" s="467"/>
    </row>
    <row r="20" spans="1:10" x14ac:dyDescent="0.25">
      <c r="A20" s="230"/>
      <c r="B20" s="230"/>
      <c r="C20" s="230"/>
      <c r="D20" s="230"/>
      <c r="E20" s="230"/>
      <c r="F20" s="230"/>
      <c r="G20" s="230"/>
      <c r="H20" s="230"/>
      <c r="I20" s="408"/>
      <c r="J20" s="408"/>
    </row>
    <row r="21" spans="1:9" x14ac:dyDescent="0.25">
      <c r="A21" s="228" t="s">
        <v>940</v>
      </c>
      <c r="B21" s="228"/>
      <c r="C21" s="186"/>
      <c r="D21" s="186"/>
      <c r="E21" s="186"/>
      <c r="F21" s="186"/>
      <c r="G21" s="133"/>
      <c r="H21" s="133"/>
      <c r="I21" s="133"/>
    </row>
    <row r="22" spans="1:6" x14ac:dyDescent="0.25">
      <c r="A22" s="468" t="s">
        <v>952</v>
      </c>
      <c r="B22" s="468"/>
      <c r="C22" s="468"/>
      <c r="D22" s="468"/>
      <c r="E22" s="468"/>
      <c r="F22" s="186"/>
    </row>
    <row r="23" spans="1:6" x14ac:dyDescent="0.25">
      <c r="A23" s="468" t="s">
        <v>953</v>
      </c>
      <c r="B23" s="468"/>
      <c r="C23" s="468"/>
      <c r="D23" s="468"/>
      <c r="E23" s="468"/>
      <c r="F23" s="186"/>
    </row>
  </sheetData>
  <mergeCells count="14">
    <mergeCell ref="D6:E6"/>
    <mergeCell ref="A6:A7"/>
    <mergeCell ref="B6:B7"/>
    <mergeCell ref="C6:C7"/>
    <mergeCell ref="A19:E19"/>
    <mergeCell ref="B20:C20"/>
    <mergeCell ref="D20:E20"/>
    <mergeCell ref="I20:J20"/>
    <mergeCell ref="A21:B21"/>
    <mergeCell ref="C21:D21"/>
    <mergeCell ref="E21:F21"/>
    <mergeCell ref="G21:I21"/>
    <mergeCell ref="A22:E22"/>
    <mergeCell ref="A23:E23"/>
  </mergeCells>
  <pageMargins left="0.7" right="0.7" top="0.75" bottom="0.75" header="0.3" footer="0.3"/>
  <pageSetup paperSize="9" orientation="portrait" horizontalDpi="4294967295" verticalDpi="4294967295" scale="85" fitToWidth="1" fitToHeight="1" firstPageNumber="1" useFirstPageNumber="1" copies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P34"/>
  <sheetViews>
    <sheetView workbookViewId="0" zoomScale="100" zoomScaleNormal="100">
      <selection activeCell="D36" sqref="D36"/>
    </sheetView>
  </sheetViews>
  <sheetFormatPr defaultRowHeight="13.8" outlineLevelRow="0" outlineLevelCol="0" x14ac:dyDescent="0.25" defaultColWidth="11.44140625" customHeight="1"/>
  <cols>
    <col min="1" max="1" width="4.44140625" style="150" customWidth="1"/>
    <col min="2" max="2" width="42.21875" style="133" customWidth="1"/>
    <col min="3" max="3" width="5.21875" style="133" customWidth="1"/>
    <col min="4" max="4" width="5.109375" style="133" customWidth="1"/>
    <col min="5" max="5" width="5.44140625" style="133" customWidth="1"/>
    <col min="6" max="6" width="3.21875" style="133" customWidth="1"/>
    <col min="7" max="7" width="5.44140625" style="133" customWidth="1"/>
    <col min="8" max="8" width="3.21875" style="133" customWidth="1"/>
    <col min="9" max="9" width="9.21875" style="133" customWidth="1"/>
    <col min="10" max="10" width="17.77734375" style="133" customWidth="1"/>
    <col min="11" max="11" width="5.109375" style="133" customWidth="1"/>
    <col min="12" max="12" width="5.88671875" style="133" customWidth="1"/>
    <col min="13" max="13" width="5.77734375" style="133" customWidth="1"/>
    <col min="14" max="14" width="11.44140625" style="133" customWidth="1"/>
    <col min="15" max="15" width="4.21875" style="133" customWidth="1"/>
    <col min="16" max="16" width="8.88671875" style="133" customWidth="1"/>
    <col min="17" max="16384" width="11.44140625" style="133" customWidth="1"/>
  </cols>
  <sheetData>
    <row r="6" spans="2:2" x14ac:dyDescent="0.25">
      <c r="B6" s="469" t="s">
        <v>954</v>
      </c>
    </row>
    <row r="7" ht="15" customHeight="1" spans="1:16" x14ac:dyDescent="0.25">
      <c r="A7" s="150"/>
      <c r="B7" s="470" t="s">
        <v>955</v>
      </c>
      <c r="C7" s="471" t="s">
        <v>956</v>
      </c>
      <c r="D7" s="472"/>
      <c r="E7" s="472"/>
      <c r="F7" s="472"/>
      <c r="G7" s="472"/>
      <c r="H7" s="472"/>
      <c r="I7" s="473"/>
      <c r="J7" s="474" t="s">
        <v>957</v>
      </c>
      <c r="K7" s="434"/>
      <c r="L7" s="434"/>
      <c r="M7" s="434"/>
      <c r="N7" s="434"/>
      <c r="O7" s="434"/>
      <c r="P7" s="434"/>
    </row>
    <row r="8" spans="1:16" x14ac:dyDescent="0.25">
      <c r="A8" s="150"/>
      <c r="B8" s="475"/>
      <c r="C8" s="476"/>
      <c r="D8" s="477"/>
      <c r="E8" s="477"/>
      <c r="F8" s="477"/>
      <c r="G8" s="477"/>
      <c r="H8" s="477"/>
      <c r="I8" s="478"/>
      <c r="J8" s="474"/>
      <c r="K8" s="434"/>
      <c r="L8" s="434"/>
      <c r="M8" s="434"/>
      <c r="N8" s="434"/>
      <c r="O8" s="434"/>
      <c r="P8" s="434"/>
    </row>
    <row r="9" ht="57" customHeight="1" spans="1:16" x14ac:dyDescent="0.25">
      <c r="A9" s="150"/>
      <c r="B9" s="479" t="s">
        <v>958</v>
      </c>
      <c r="C9" s="434" t="s">
        <v>959</v>
      </c>
      <c r="D9" s="434"/>
      <c r="E9" s="432" t="s">
        <v>960</v>
      </c>
      <c r="F9" s="432"/>
      <c r="G9" s="432" t="s">
        <v>961</v>
      </c>
      <c r="H9" s="432"/>
      <c r="I9" s="480" t="s">
        <v>435</v>
      </c>
      <c r="J9" s="474" t="s">
        <v>959</v>
      </c>
      <c r="K9" s="434"/>
      <c r="L9" s="432" t="s">
        <v>960</v>
      </c>
      <c r="M9" s="432"/>
      <c r="N9" s="434" t="s">
        <v>961</v>
      </c>
      <c r="O9" s="434"/>
      <c r="P9" s="434" t="s">
        <v>435</v>
      </c>
    </row>
    <row r="10" spans="1:16" x14ac:dyDescent="0.25">
      <c r="A10" s="150"/>
      <c r="B10" s="481"/>
      <c r="C10" s="434" t="s">
        <v>962</v>
      </c>
      <c r="D10" s="434" t="s">
        <v>963</v>
      </c>
      <c r="E10" s="434" t="s">
        <v>962</v>
      </c>
      <c r="F10" s="434" t="s">
        <v>963</v>
      </c>
      <c r="G10" s="434" t="s">
        <v>962</v>
      </c>
      <c r="H10" s="434" t="s">
        <v>963</v>
      </c>
      <c r="I10" s="480"/>
      <c r="J10" s="474" t="s">
        <v>962</v>
      </c>
      <c r="K10" s="434" t="s">
        <v>963</v>
      </c>
      <c r="L10" s="434" t="s">
        <v>962</v>
      </c>
      <c r="M10" s="434" t="s">
        <v>963</v>
      </c>
      <c r="N10" s="434" t="s">
        <v>962</v>
      </c>
      <c r="O10" s="434" t="s">
        <v>963</v>
      </c>
      <c r="P10" s="434"/>
    </row>
    <row r="11" spans="1:16" x14ac:dyDescent="0.25">
      <c r="A11" s="482" t="s">
        <v>964</v>
      </c>
      <c r="B11" s="464" t="s">
        <v>965</v>
      </c>
      <c r="C11" s="464"/>
      <c r="D11" s="464"/>
      <c r="E11" s="464"/>
      <c r="F11" s="464"/>
      <c r="G11" s="464"/>
      <c r="H11" s="464"/>
      <c r="I11" s="483">
        <f>SUM(C11:H11)</f>
        <v>0</v>
      </c>
      <c r="J11" s="484"/>
      <c r="K11" s="464"/>
      <c r="L11" s="464"/>
      <c r="M11" s="464"/>
      <c r="N11" s="464"/>
      <c r="O11" s="464"/>
      <c r="P11" s="464">
        <f>SUM(J11:O11)</f>
        <v>0</v>
      </c>
    </row>
    <row r="12" spans="1:16" x14ac:dyDescent="0.25">
      <c r="A12" s="482" t="s">
        <v>966</v>
      </c>
      <c r="B12" s="464" t="s">
        <v>967</v>
      </c>
      <c r="C12" s="464"/>
      <c r="D12" s="464"/>
      <c r="E12" s="464"/>
      <c r="F12" s="464"/>
      <c r="G12" s="464"/>
      <c r="H12" s="464"/>
      <c r="I12" s="483">
        <f t="shared" ref="I12:I15" si="0">SUM(C12:H12)</f>
        <v>0</v>
      </c>
      <c r="J12" s="484"/>
      <c r="K12" s="464"/>
      <c r="L12" s="464"/>
      <c r="M12" s="464"/>
      <c r="N12" s="464"/>
      <c r="O12" s="464"/>
      <c r="P12" s="464">
        <f t="shared" ref="P12:P14" si="1">SUM(J12:O12)</f>
        <v>0</v>
      </c>
    </row>
    <row r="13" ht="27.6" customHeight="1" spans="1:16" x14ac:dyDescent="0.25">
      <c r="A13" s="482" t="s">
        <v>968</v>
      </c>
      <c r="B13" s="458" t="s">
        <v>969</v>
      </c>
      <c r="C13" s="464"/>
      <c r="D13" s="464"/>
      <c r="E13" s="464"/>
      <c r="F13" s="464"/>
      <c r="G13" s="464"/>
      <c r="H13" s="464"/>
      <c r="I13" s="483">
        <f t="shared" si="0"/>
        <v>0</v>
      </c>
      <c r="J13" s="484"/>
      <c r="K13" s="464"/>
      <c r="L13" s="464"/>
      <c r="M13" s="464"/>
      <c r="N13" s="464"/>
      <c r="O13" s="464"/>
      <c r="P13" s="464">
        <f t="shared" si="1"/>
        <v>0</v>
      </c>
    </row>
    <row r="14" spans="1:16" x14ac:dyDescent="0.25">
      <c r="A14" s="482" t="s">
        <v>970</v>
      </c>
      <c r="B14" s="464" t="s">
        <v>971</v>
      </c>
      <c r="C14" s="464"/>
      <c r="D14" s="464"/>
      <c r="E14" s="464"/>
      <c r="F14" s="464"/>
      <c r="G14" s="464"/>
      <c r="H14" s="464"/>
      <c r="I14" s="483">
        <f t="shared" si="0"/>
        <v>0</v>
      </c>
      <c r="J14" s="484"/>
      <c r="K14" s="464"/>
      <c r="L14" s="464"/>
      <c r="M14" s="464"/>
      <c r="N14" s="464"/>
      <c r="O14" s="464"/>
      <c r="P14" s="464">
        <f t="shared" si="1"/>
        <v>0</v>
      </c>
    </row>
    <row r="15" spans="1:16" x14ac:dyDescent="0.25">
      <c r="A15" s="482" t="s">
        <v>972</v>
      </c>
      <c r="B15" s="485" t="s">
        <v>973</v>
      </c>
      <c r="C15" s="486">
        <f>SUM(C11:C14)</f>
        <v>0</v>
      </c>
      <c r="D15" s="486">
        <f t="shared" ref="D15:H15" si="2">SUM(D11:D14)</f>
        <v>0</v>
      </c>
      <c r="E15" s="486">
        <f t="shared" si="2"/>
        <v>0</v>
      </c>
      <c r="F15" s="486">
        <f t="shared" si="2"/>
        <v>0</v>
      </c>
      <c r="G15" s="486">
        <f t="shared" si="2"/>
        <v>0</v>
      </c>
      <c r="H15" s="486">
        <f t="shared" si="2"/>
        <v>0</v>
      </c>
      <c r="I15" s="487">
        <f t="shared" si="0"/>
        <v>0</v>
      </c>
      <c r="J15" s="488">
        <f>SUM(J11:J14)</f>
        <v>0</v>
      </c>
      <c r="K15" s="488">
        <f t="shared" ref="K15:O15" si="3">SUM(K11:K14)</f>
        <v>0</v>
      </c>
      <c r="L15" s="488">
        <f t="shared" si="3"/>
        <v>0</v>
      </c>
      <c r="M15" s="488">
        <f t="shared" si="3"/>
        <v>0</v>
      </c>
      <c r="N15" s="488">
        <f t="shared" si="3"/>
        <v>0</v>
      </c>
      <c r="O15" s="488">
        <f t="shared" si="3"/>
        <v>0</v>
      </c>
      <c r="P15" s="486">
        <v>0</v>
      </c>
    </row>
    <row r="16" spans="1:16" x14ac:dyDescent="0.25">
      <c r="A16" s="482"/>
      <c r="B16" s="464"/>
      <c r="C16" s="464"/>
      <c r="D16" s="464"/>
      <c r="E16" s="464"/>
      <c r="F16" s="464"/>
      <c r="G16" s="464"/>
      <c r="H16" s="464"/>
      <c r="I16" s="483"/>
      <c r="J16" s="484"/>
      <c r="K16" s="464"/>
      <c r="L16" s="464"/>
      <c r="M16" s="464"/>
      <c r="N16" s="464"/>
      <c r="O16" s="464"/>
      <c r="P16" s="464"/>
    </row>
    <row r="17" spans="1:16" x14ac:dyDescent="0.25">
      <c r="A17" s="482" t="s">
        <v>974</v>
      </c>
      <c r="B17" s="464" t="s">
        <v>975</v>
      </c>
      <c r="C17" s="464"/>
      <c r="D17" s="464"/>
      <c r="E17" s="464"/>
      <c r="F17" s="464"/>
      <c r="G17" s="464"/>
      <c r="H17" s="464"/>
      <c r="I17" s="483"/>
      <c r="J17" s="484"/>
      <c r="K17" s="464"/>
      <c r="L17" s="464"/>
      <c r="M17" s="464"/>
      <c r="N17" s="464"/>
      <c r="O17" s="464"/>
      <c r="P17" s="464"/>
    </row>
    <row r="18" spans="1:16" x14ac:dyDescent="0.25">
      <c r="A18" s="482" t="s">
        <v>976</v>
      </c>
      <c r="B18" s="464" t="s">
        <v>977</v>
      </c>
      <c r="C18" s="464"/>
      <c r="D18" s="464"/>
      <c r="E18" s="464"/>
      <c r="F18" s="464"/>
      <c r="G18" s="464"/>
      <c r="H18" s="464"/>
      <c r="I18" s="483"/>
      <c r="J18" s="484"/>
      <c r="K18" s="464"/>
      <c r="L18" s="464"/>
      <c r="M18" s="464"/>
      <c r="N18" s="464"/>
      <c r="O18" s="464"/>
      <c r="P18" s="464"/>
    </row>
    <row r="21" spans="10:13" x14ac:dyDescent="0.25">
      <c r="J21" s="489" t="s">
        <v>978</v>
      </c>
      <c r="K21" s="490"/>
      <c r="L21" s="490"/>
      <c r="M21" s="491"/>
    </row>
    <row r="22" spans="2:13" x14ac:dyDescent="0.25">
      <c r="B22" s="492" t="s">
        <v>979</v>
      </c>
      <c r="J22" s="493"/>
      <c r="K22" s="494"/>
      <c r="L22" s="494"/>
      <c r="M22" s="495"/>
    </row>
    <row r="23" spans="1:13" x14ac:dyDescent="0.25">
      <c r="A23" s="482" t="s">
        <v>980</v>
      </c>
      <c r="B23" s="464" t="s">
        <v>965</v>
      </c>
      <c r="C23" s="464"/>
      <c r="D23" s="464" t="s">
        <v>27</v>
      </c>
      <c r="E23" s="464"/>
      <c r="F23" s="464"/>
      <c r="G23" s="464"/>
      <c r="H23" s="464"/>
      <c r="I23" s="483" t="s">
        <v>27</v>
      </c>
      <c r="J23" s="496" t="s">
        <v>27</v>
      </c>
      <c r="K23" s="497"/>
      <c r="L23" s="497"/>
      <c r="M23" s="464"/>
    </row>
    <row r="24" spans="1:13" x14ac:dyDescent="0.25">
      <c r="A24" s="482" t="s">
        <v>981</v>
      </c>
      <c r="B24" s="464" t="s">
        <v>967</v>
      </c>
      <c r="C24" s="464"/>
      <c r="D24" s="464"/>
      <c r="E24" s="464"/>
      <c r="F24" s="464"/>
      <c r="G24" s="464"/>
      <c r="H24" s="464"/>
      <c r="I24" s="483"/>
      <c r="J24" s="496"/>
      <c r="K24" s="497"/>
      <c r="L24" s="497"/>
      <c r="M24" s="464"/>
    </row>
    <row r="25" ht="27.6" customHeight="1" spans="1:13" x14ac:dyDescent="0.25">
      <c r="A25" s="482" t="s">
        <v>982</v>
      </c>
      <c r="B25" s="458" t="s">
        <v>969</v>
      </c>
      <c r="C25" s="464"/>
      <c r="D25" s="464"/>
      <c r="E25" s="464"/>
      <c r="F25" s="464"/>
      <c r="G25" s="464"/>
      <c r="H25" s="464"/>
      <c r="I25" s="483"/>
      <c r="J25" s="496"/>
      <c r="K25" s="497"/>
      <c r="L25" s="497"/>
      <c r="M25" s="464"/>
    </row>
    <row r="26" spans="1:13" x14ac:dyDescent="0.25">
      <c r="A26" s="482" t="s">
        <v>983</v>
      </c>
      <c r="B26" s="464" t="s">
        <v>971</v>
      </c>
      <c r="C26" s="464"/>
      <c r="D26" s="464"/>
      <c r="E26" s="464"/>
      <c r="F26" s="464"/>
      <c r="G26" s="464"/>
      <c r="H26" s="464"/>
      <c r="I26" s="483"/>
      <c r="J26" s="496"/>
      <c r="K26" s="497"/>
      <c r="L26" s="497"/>
      <c r="M26" s="464"/>
    </row>
    <row r="27" spans="1:13" x14ac:dyDescent="0.25">
      <c r="A27" s="482" t="s">
        <v>984</v>
      </c>
      <c r="B27" s="498" t="s">
        <v>985</v>
      </c>
      <c r="C27" s="499">
        <f>SUM(C23:C26)</f>
        <v>0</v>
      </c>
      <c r="D27" s="499">
        <f t="shared" ref="D27:H27" si="4">SUM(D23:D26)</f>
        <v>0</v>
      </c>
      <c r="E27" s="499">
        <f t="shared" si="4"/>
        <v>0</v>
      </c>
      <c r="F27" s="499">
        <f t="shared" si="4"/>
        <v>0</v>
      </c>
      <c r="G27" s="499">
        <f t="shared" si="4"/>
        <v>0</v>
      </c>
      <c r="H27" s="499">
        <f t="shared" si="4"/>
        <v>0</v>
      </c>
      <c r="I27" s="499">
        <v>0</v>
      </c>
      <c r="J27" s="500">
        <f>SUM(J23:L26)</f>
        <v>0</v>
      </c>
      <c r="K27" s="501"/>
      <c r="L27" s="501"/>
      <c r="M27" s="499">
        <f>SUM(M23:M26)</f>
        <v>0</v>
      </c>
    </row>
    <row r="28" spans="1:16" x14ac:dyDescent="0.25">
      <c r="A28" s="482" t="s">
        <v>986</v>
      </c>
      <c r="B28" s="464" t="s">
        <v>975</v>
      </c>
      <c r="C28" s="464"/>
      <c r="D28" s="464"/>
      <c r="E28" s="464"/>
      <c r="F28" s="464"/>
      <c r="G28" s="464"/>
      <c r="H28" s="464"/>
      <c r="I28" s="483"/>
      <c r="J28" s="496"/>
      <c r="K28" s="497"/>
      <c r="L28" s="497"/>
      <c r="M28" s="464"/>
      <c r="O28" s="466" t="s">
        <v>987</v>
      </c>
      <c r="P28" s="466"/>
    </row>
    <row r="29" spans="1:16" x14ac:dyDescent="0.25">
      <c r="A29" s="482" t="s">
        <v>988</v>
      </c>
      <c r="B29" s="464" t="s">
        <v>977</v>
      </c>
      <c r="C29" s="464"/>
      <c r="D29" s="464"/>
      <c r="E29" s="464"/>
      <c r="F29" s="464"/>
      <c r="G29" s="464"/>
      <c r="H29" s="464"/>
      <c r="I29" s="483"/>
      <c r="J29" s="496"/>
      <c r="K29" s="497"/>
      <c r="L29" s="497"/>
      <c r="M29" s="464"/>
      <c r="O29" s="466" t="s">
        <v>989</v>
      </c>
      <c r="P29" s="466"/>
    </row>
    <row r="30" spans="1:13" x14ac:dyDescent="0.25">
      <c r="A30" s="482"/>
      <c r="B30" s="464"/>
      <c r="C30" s="464"/>
      <c r="D30" s="464"/>
      <c r="E30" s="464"/>
      <c r="F30" s="464"/>
      <c r="G30" s="464"/>
      <c r="H30" s="464"/>
      <c r="I30" s="502"/>
      <c r="J30" s="503"/>
      <c r="K30" s="504"/>
      <c r="L30" s="504"/>
      <c r="M30" s="505"/>
    </row>
    <row r="31" spans="1:13" x14ac:dyDescent="0.25">
      <c r="A31" s="506" t="s">
        <v>990</v>
      </c>
      <c r="B31" s="507" t="s">
        <v>991</v>
      </c>
      <c r="C31" s="508">
        <f>C15+C27</f>
        <v>0</v>
      </c>
      <c r="D31" s="508">
        <f t="shared" ref="D31:I31" si="5">D15+D27</f>
        <v>0</v>
      </c>
      <c r="E31" s="508">
        <f t="shared" si="5"/>
        <v>0</v>
      </c>
      <c r="F31" s="508">
        <f t="shared" si="5"/>
        <v>0</v>
      </c>
      <c r="G31" s="508">
        <f t="shared" si="5"/>
        <v>0</v>
      </c>
      <c r="H31" s="508">
        <f t="shared" si="5"/>
        <v>0</v>
      </c>
      <c r="I31" s="508">
        <f t="shared" si="5"/>
        <v>0</v>
      </c>
      <c r="J31" s="509"/>
      <c r="K31" s="510"/>
      <c r="L31" s="511"/>
      <c r="M31" s="512"/>
    </row>
    <row r="33" spans="1:13" x14ac:dyDescent="0.25">
      <c r="A33" s="513" t="s">
        <v>992</v>
      </c>
      <c r="B33" s="513"/>
      <c r="C33" s="513"/>
      <c r="D33" s="513"/>
      <c r="E33" s="513"/>
      <c r="F33" s="513"/>
      <c r="G33" s="513"/>
      <c r="H33" s="513"/>
      <c r="I33" s="513"/>
      <c r="J33" s="513"/>
      <c r="K33" s="513"/>
      <c r="L33" s="513"/>
      <c r="M33" s="513"/>
    </row>
    <row r="34" spans="1:13" x14ac:dyDescent="0.25">
      <c r="A34" s="461" t="s">
        <v>993</v>
      </c>
      <c r="B34" s="461"/>
      <c r="C34" s="461"/>
      <c r="D34" s="461"/>
      <c r="E34" s="461"/>
      <c r="F34" s="461"/>
      <c r="G34" s="461"/>
      <c r="H34" s="461"/>
      <c r="I34" s="461"/>
      <c r="J34" s="461"/>
      <c r="K34" s="461"/>
      <c r="L34" s="461"/>
      <c r="M34" s="461"/>
    </row>
  </sheetData>
  <mergeCells count="24">
    <mergeCell ref="C7:I8"/>
    <mergeCell ref="J7:P8"/>
    <mergeCell ref="A7:A10"/>
    <mergeCell ref="B7:B8"/>
    <mergeCell ref="C9:D9"/>
    <mergeCell ref="E9:F9"/>
    <mergeCell ref="G9:H9"/>
    <mergeCell ref="J9:K9"/>
    <mergeCell ref="L9:M9"/>
    <mergeCell ref="N9:O9"/>
    <mergeCell ref="B9:B10"/>
    <mergeCell ref="J21:M22"/>
    <mergeCell ref="J23:L23"/>
    <mergeCell ref="J24:L24"/>
    <mergeCell ref="J25:L25"/>
    <mergeCell ref="J26:L26"/>
    <mergeCell ref="J27:L27"/>
    <mergeCell ref="J28:L28"/>
    <mergeCell ref="O28:P28"/>
    <mergeCell ref="J29:L29"/>
    <mergeCell ref="O29:P29"/>
    <mergeCell ref="J30:L30"/>
    <mergeCell ref="A33:M33"/>
    <mergeCell ref="A34:M34"/>
  </mergeCells>
  <pageMargins left="0.7" right="0.7" top="0.75" bottom="0.75" header="0.3" footer="0.3"/>
  <pageSetup paperSize="9" orientation="portrait" horizontalDpi="4294967295" verticalDpi="4294967295" scale="56" fitToWidth="1" fitToHeight="1" firstPageNumber="1" useFirstPageNumber="1" copies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32"/>
  <sheetViews>
    <sheetView workbookViewId="0" zoomScale="100" zoomScaleNormal="100">
      <selection activeCell="G1" sqref="G1"/>
    </sheetView>
  </sheetViews>
  <sheetFormatPr defaultRowHeight="13.8" outlineLevelRow="0" outlineLevelCol="0" x14ac:dyDescent="0.25" defaultColWidth="11.44140625" customHeight="1"/>
  <cols>
    <col min="1" max="1" width="48" style="133" customWidth="1"/>
    <col min="2" max="2" width="11.44140625" style="133" customWidth="1"/>
    <col min="3" max="3" width="14.88671875" style="133" customWidth="1"/>
    <col min="4" max="4" width="12" style="133" customWidth="1"/>
    <col min="5" max="5" width="11.44140625" style="133" customWidth="1"/>
    <col min="6" max="6" width="14.77734375" style="133" customWidth="1"/>
    <col min="7" max="8" width="11.44140625" style="133" customWidth="1"/>
    <col min="9" max="9" width="12.5546875" style="133" customWidth="1"/>
    <col min="10" max="16384" width="11.44140625" style="133" customWidth="1"/>
  </cols>
  <sheetData>
    <row r="6" ht="23.25" customHeight="1" spans="1:9" x14ac:dyDescent="0.25">
      <c r="A6" s="514" t="s">
        <v>994</v>
      </c>
      <c r="B6" s="480" t="s">
        <v>243</v>
      </c>
      <c r="C6" s="515" t="s">
        <v>264</v>
      </c>
      <c r="D6" s="434"/>
      <c r="E6" s="480"/>
      <c r="F6" s="515" t="s">
        <v>995</v>
      </c>
      <c r="G6" s="434"/>
      <c r="H6" s="480"/>
      <c r="I6" s="474" t="s">
        <v>515</v>
      </c>
    </row>
    <row r="7" spans="1:9" x14ac:dyDescent="0.25">
      <c r="A7" s="516"/>
      <c r="B7" s="517" t="s">
        <v>996</v>
      </c>
      <c r="C7" s="515" t="s">
        <v>997</v>
      </c>
      <c r="D7" s="434"/>
      <c r="E7" s="480"/>
      <c r="F7" s="515" t="s">
        <v>998</v>
      </c>
      <c r="G7" s="434"/>
      <c r="H7" s="480"/>
      <c r="I7" s="518" t="s">
        <v>999</v>
      </c>
    </row>
    <row r="8" ht="60.75" customHeight="1" spans="1:9" x14ac:dyDescent="0.25">
      <c r="A8" s="481" t="s">
        <v>1000</v>
      </c>
      <c r="B8" s="517"/>
      <c r="C8" s="515" t="s">
        <v>1001</v>
      </c>
      <c r="D8" s="434" t="s">
        <v>1002</v>
      </c>
      <c r="E8" s="517" t="s">
        <v>1003</v>
      </c>
      <c r="F8" s="515" t="s">
        <v>1001</v>
      </c>
      <c r="G8" s="434" t="s">
        <v>1002</v>
      </c>
      <c r="H8" s="517" t="s">
        <v>1003</v>
      </c>
      <c r="I8" s="518"/>
    </row>
    <row r="9" spans="1:9" x14ac:dyDescent="0.25">
      <c r="A9" s="458" t="s">
        <v>85</v>
      </c>
      <c r="B9" s="464">
        <v>0</v>
      </c>
      <c r="C9" s="519">
        <v>0</v>
      </c>
      <c r="D9" s="519">
        <v>0</v>
      </c>
      <c r="E9" s="464">
        <v>0</v>
      </c>
      <c r="F9" s="519">
        <v>0</v>
      </c>
      <c r="G9" s="519">
        <v>0</v>
      </c>
      <c r="H9" s="464">
        <v>0</v>
      </c>
      <c r="I9" s="464">
        <f>B9+C9+D9+E9-F9-G9-H9</f>
        <v>0</v>
      </c>
    </row>
    <row r="10" spans="1:9" x14ac:dyDescent="0.25">
      <c r="A10" s="458" t="s">
        <v>117</v>
      </c>
      <c r="B10" s="464">
        <v>0</v>
      </c>
      <c r="C10" s="464">
        <v>0</v>
      </c>
      <c r="D10" s="464">
        <v>0</v>
      </c>
      <c r="E10" s="464">
        <v>0</v>
      </c>
      <c r="F10" s="464">
        <v>0</v>
      </c>
      <c r="G10" s="464">
        <v>0</v>
      </c>
      <c r="H10" s="464">
        <v>0</v>
      </c>
      <c r="I10" s="464">
        <f t="shared" ref="I10:I14" si="0">B10+C10+D10+E10-F10-G10-H10</f>
        <v>0</v>
      </c>
    </row>
    <row r="11" spans="1:9" x14ac:dyDescent="0.25">
      <c r="A11" s="458" t="s">
        <v>1004</v>
      </c>
      <c r="B11" s="464">
        <v>0</v>
      </c>
      <c r="C11" s="464">
        <v>0</v>
      </c>
      <c r="D11" s="464">
        <v>0</v>
      </c>
      <c r="E11" s="464">
        <v>0</v>
      </c>
      <c r="F11" s="464">
        <v>0</v>
      </c>
      <c r="G11" s="464">
        <v>0</v>
      </c>
      <c r="H11" s="464">
        <v>0</v>
      </c>
      <c r="I11" s="464">
        <f t="shared" si="0"/>
        <v>0</v>
      </c>
    </row>
    <row r="12" ht="27.6" customHeight="1" spans="1:9" x14ac:dyDescent="0.25">
      <c r="A12" s="520" t="s">
        <v>1005</v>
      </c>
      <c r="B12" s="464">
        <v>0</v>
      </c>
      <c r="C12" s="464">
        <v>0</v>
      </c>
      <c r="D12" s="464">
        <v>0</v>
      </c>
      <c r="E12" s="464">
        <v>0</v>
      </c>
      <c r="F12" s="464">
        <v>0</v>
      </c>
      <c r="G12" s="464">
        <v>0</v>
      </c>
      <c r="H12" s="464">
        <v>0</v>
      </c>
      <c r="I12" s="464">
        <f t="shared" si="0"/>
        <v>0</v>
      </c>
    </row>
    <row r="13" spans="1:9" x14ac:dyDescent="0.25">
      <c r="A13" s="458" t="s">
        <v>1006</v>
      </c>
      <c r="B13" s="464"/>
      <c r="C13" s="464"/>
      <c r="D13" s="464"/>
      <c r="E13" s="464"/>
      <c r="F13" s="464"/>
      <c r="G13" s="464"/>
      <c r="H13" s="464"/>
      <c r="I13" s="464">
        <f t="shared" si="0"/>
        <v>0</v>
      </c>
    </row>
    <row r="14" spans="1:9" x14ac:dyDescent="0.25">
      <c r="A14" s="521" t="s">
        <v>1007</v>
      </c>
      <c r="B14" s="522">
        <v>0</v>
      </c>
      <c r="C14" s="522">
        <v>0</v>
      </c>
      <c r="D14" s="522">
        <v>0</v>
      </c>
      <c r="E14" s="522">
        <v>0</v>
      </c>
      <c r="F14" s="522">
        <v>0</v>
      </c>
      <c r="G14" s="522">
        <v>0</v>
      </c>
      <c r="H14" s="522">
        <v>0</v>
      </c>
      <c r="I14" s="523">
        <f t="shared" si="0"/>
        <v>0</v>
      </c>
    </row>
    <row r="15" spans="1:9" x14ac:dyDescent="0.25">
      <c r="A15" s="458" t="s">
        <v>1008</v>
      </c>
      <c r="B15" s="483">
        <v>0</v>
      </c>
      <c r="C15" s="484">
        <v>0</v>
      </c>
      <c r="D15" s="464">
        <v>0</v>
      </c>
      <c r="E15" s="522">
        <v>0</v>
      </c>
      <c r="F15" s="484">
        <v>0</v>
      </c>
      <c r="G15" s="464">
        <v>0</v>
      </c>
      <c r="H15" s="522">
        <v>0</v>
      </c>
      <c r="I15" s="484">
        <f>B15+C15+D15+E15-F15-G15-H15</f>
        <v>0</v>
      </c>
    </row>
    <row r="16" spans="1:9" x14ac:dyDescent="0.25">
      <c r="A16" s="458" t="s">
        <v>1009</v>
      </c>
      <c r="B16" s="483">
        <v>0</v>
      </c>
      <c r="C16" s="484">
        <v>0</v>
      </c>
      <c r="D16" s="464">
        <v>0</v>
      </c>
      <c r="E16" s="522">
        <v>0</v>
      </c>
      <c r="F16" s="484">
        <v>0</v>
      </c>
      <c r="G16" s="464">
        <v>0</v>
      </c>
      <c r="H16" s="522">
        <v>0</v>
      </c>
      <c r="I16" s="484">
        <f t="shared" ref="I16:I29" si="1">B16+C16+D16+E16-F16-G16-H16</f>
        <v>0</v>
      </c>
    </row>
    <row r="17" spans="1:9" x14ac:dyDescent="0.25">
      <c r="A17" s="458" t="s">
        <v>1010</v>
      </c>
      <c r="B17" s="483">
        <v>0</v>
      </c>
      <c r="C17" s="484">
        <v>0</v>
      </c>
      <c r="D17" s="464">
        <v>0</v>
      </c>
      <c r="E17" s="522">
        <v>0</v>
      </c>
      <c r="F17" s="484">
        <v>0</v>
      </c>
      <c r="G17" s="464">
        <v>0</v>
      </c>
      <c r="H17" s="522">
        <v>0</v>
      </c>
      <c r="I17" s="484">
        <f t="shared" si="1"/>
        <v>0</v>
      </c>
    </row>
    <row r="18" spans="1:9" x14ac:dyDescent="0.25">
      <c r="A18" s="458" t="s">
        <v>1011</v>
      </c>
      <c r="B18" s="483">
        <v>0</v>
      </c>
      <c r="C18" s="484">
        <v>0</v>
      </c>
      <c r="D18" s="464">
        <v>0</v>
      </c>
      <c r="E18" s="522">
        <v>0</v>
      </c>
      <c r="F18" s="484">
        <v>0</v>
      </c>
      <c r="G18" s="464">
        <v>0</v>
      </c>
      <c r="H18" s="522">
        <v>0</v>
      </c>
      <c r="I18" s="484">
        <f t="shared" si="1"/>
        <v>0</v>
      </c>
    </row>
    <row r="19" spans="1:9" x14ac:dyDescent="0.25">
      <c r="A19" s="458" t="s">
        <v>1012</v>
      </c>
      <c r="B19" s="483">
        <v>0</v>
      </c>
      <c r="C19" s="523">
        <v>0</v>
      </c>
      <c r="D19" s="519">
        <v>0</v>
      </c>
      <c r="E19" s="483">
        <v>0</v>
      </c>
      <c r="F19" s="523">
        <v>0</v>
      </c>
      <c r="G19" s="519">
        <v>0</v>
      </c>
      <c r="H19" s="483">
        <v>0</v>
      </c>
      <c r="I19" s="484">
        <f t="shared" si="1"/>
        <v>0</v>
      </c>
    </row>
    <row r="20" spans="1:9" x14ac:dyDescent="0.25">
      <c r="A20" s="458" t="s">
        <v>683</v>
      </c>
      <c r="B20" s="483">
        <v>0</v>
      </c>
      <c r="C20" s="484">
        <v>0</v>
      </c>
      <c r="D20" s="464">
        <v>0</v>
      </c>
      <c r="E20" s="522">
        <v>0</v>
      </c>
      <c r="F20" s="484">
        <v>0</v>
      </c>
      <c r="G20" s="464">
        <v>0</v>
      </c>
      <c r="H20" s="522">
        <v>0</v>
      </c>
      <c r="I20" s="484">
        <f t="shared" si="1"/>
        <v>0</v>
      </c>
    </row>
    <row r="21" spans="1:9" x14ac:dyDescent="0.25">
      <c r="A21" s="458" t="s">
        <v>1013</v>
      </c>
      <c r="B21" s="483">
        <v>0</v>
      </c>
      <c r="C21" s="484">
        <v>0</v>
      </c>
      <c r="D21" s="464">
        <v>0</v>
      </c>
      <c r="E21" s="522">
        <v>0</v>
      </c>
      <c r="F21" s="484">
        <v>0</v>
      </c>
      <c r="G21" s="464">
        <v>0</v>
      </c>
      <c r="H21" s="522">
        <v>0</v>
      </c>
      <c r="I21" s="484">
        <f t="shared" si="1"/>
        <v>0</v>
      </c>
    </row>
    <row r="22" spans="1:9" x14ac:dyDescent="0.25">
      <c r="A22" s="458" t="s">
        <v>1014</v>
      </c>
      <c r="B22" s="483">
        <v>0</v>
      </c>
      <c r="C22" s="484">
        <v>0</v>
      </c>
      <c r="D22" s="464">
        <v>0</v>
      </c>
      <c r="E22" s="522">
        <v>0</v>
      </c>
      <c r="F22" s="484">
        <v>0</v>
      </c>
      <c r="G22" s="464">
        <v>0</v>
      </c>
      <c r="H22" s="522">
        <v>0</v>
      </c>
      <c r="I22" s="484">
        <f t="shared" si="1"/>
        <v>0</v>
      </c>
    </row>
    <row r="23" ht="27.6" customHeight="1" spans="1:9" x14ac:dyDescent="0.25">
      <c r="A23" s="458" t="s">
        <v>1015</v>
      </c>
      <c r="B23" s="483">
        <v>0</v>
      </c>
      <c r="C23" s="484">
        <v>0</v>
      </c>
      <c r="D23" s="464">
        <v>0</v>
      </c>
      <c r="E23" s="522">
        <v>0</v>
      </c>
      <c r="F23" s="484">
        <v>0</v>
      </c>
      <c r="G23" s="464">
        <v>0</v>
      </c>
      <c r="H23" s="522">
        <v>0</v>
      </c>
      <c r="I23" s="484">
        <f t="shared" si="1"/>
        <v>0</v>
      </c>
    </row>
    <row r="24" ht="27.6" customHeight="1" spans="1:9" x14ac:dyDescent="0.25">
      <c r="A24" s="458" t="s">
        <v>1016</v>
      </c>
      <c r="B24" s="483">
        <v>0</v>
      </c>
      <c r="C24" s="484">
        <v>0</v>
      </c>
      <c r="D24" s="464">
        <v>0</v>
      </c>
      <c r="E24" s="522">
        <v>0</v>
      </c>
      <c r="F24" s="484">
        <v>0</v>
      </c>
      <c r="G24" s="464">
        <v>0</v>
      </c>
      <c r="H24" s="522">
        <v>0</v>
      </c>
      <c r="I24" s="484">
        <f t="shared" si="1"/>
        <v>0</v>
      </c>
    </row>
    <row r="25" spans="1:9" x14ac:dyDescent="0.25">
      <c r="A25" s="458" t="s">
        <v>1017</v>
      </c>
      <c r="B25" s="483">
        <v>0</v>
      </c>
      <c r="C25" s="484">
        <v>0</v>
      </c>
      <c r="D25" s="519">
        <v>0</v>
      </c>
      <c r="E25" s="522">
        <v>0</v>
      </c>
      <c r="F25" s="484">
        <v>0</v>
      </c>
      <c r="G25" s="519">
        <v>0</v>
      </c>
      <c r="H25" s="522">
        <v>0</v>
      </c>
      <c r="I25" s="484">
        <f t="shared" si="1"/>
        <v>0</v>
      </c>
    </row>
    <row r="26" spans="1:9" x14ac:dyDescent="0.25">
      <c r="A26" s="458" t="s">
        <v>1018</v>
      </c>
      <c r="B26" s="483"/>
      <c r="C26" s="523"/>
      <c r="D26" s="519"/>
      <c r="E26" s="483"/>
      <c r="F26" s="523"/>
      <c r="G26" s="519"/>
      <c r="H26" s="483"/>
      <c r="I26" s="484">
        <f t="shared" si="1"/>
        <v>0</v>
      </c>
    </row>
    <row r="27" spans="1:9" x14ac:dyDescent="0.25">
      <c r="A27" s="458" t="s">
        <v>1019</v>
      </c>
      <c r="B27" s="483"/>
      <c r="C27" s="523"/>
      <c r="D27" s="464"/>
      <c r="E27" s="522"/>
      <c r="F27" s="523"/>
      <c r="G27" s="464"/>
      <c r="H27" s="522"/>
      <c r="I27" s="484">
        <f t="shared" si="1"/>
        <v>0</v>
      </c>
    </row>
    <row r="28" ht="27.6" customHeight="1" spans="1:9" x14ac:dyDescent="0.25">
      <c r="A28" s="524" t="s">
        <v>1020</v>
      </c>
      <c r="B28" s="522">
        <f>SUM(B15:B27)</f>
        <v>0</v>
      </c>
      <c r="C28" s="522">
        <f t="shared" ref="C28:H28" si="2">SUM(C15:C27)</f>
        <v>0</v>
      </c>
      <c r="D28" s="522">
        <f t="shared" si="2"/>
        <v>0</v>
      </c>
      <c r="E28" s="522">
        <f t="shared" si="2"/>
        <v>0</v>
      </c>
      <c r="F28" s="522">
        <f t="shared" si="2"/>
        <v>0</v>
      </c>
      <c r="G28" s="522">
        <f t="shared" si="2"/>
        <v>0</v>
      </c>
      <c r="H28" s="522">
        <f t="shared" si="2"/>
        <v>0</v>
      </c>
      <c r="I28" s="523">
        <f t="shared" si="1"/>
        <v>0</v>
      </c>
    </row>
    <row r="29" spans="1:9" x14ac:dyDescent="0.25">
      <c r="A29" s="209" t="s">
        <v>435</v>
      </c>
      <c r="B29" s="525">
        <f>B14+B28</f>
        <v>0</v>
      </c>
      <c r="C29" s="525">
        <f t="shared" ref="C29:H29" si="3">C14+C28</f>
        <v>0</v>
      </c>
      <c r="D29" s="525">
        <f t="shared" si="3"/>
        <v>0</v>
      </c>
      <c r="E29" s="525">
        <f t="shared" si="3"/>
        <v>0</v>
      </c>
      <c r="F29" s="525">
        <f t="shared" si="3"/>
        <v>0</v>
      </c>
      <c r="G29" s="525">
        <f t="shared" si="3"/>
        <v>0</v>
      </c>
      <c r="H29" s="525">
        <f t="shared" si="3"/>
        <v>0</v>
      </c>
      <c r="I29" s="526">
        <f t="shared" si="1"/>
        <v>0</v>
      </c>
    </row>
    <row r="31" ht="14.4" customHeight="1" spans="1:9" x14ac:dyDescent="0.25">
      <c r="A31" s="299" t="s">
        <v>1021</v>
      </c>
      <c r="B31" s="299"/>
      <c r="C31" s="299"/>
      <c r="D31" s="299"/>
      <c r="E31" s="299"/>
      <c r="F31" s="299"/>
      <c r="G31" s="299"/>
      <c r="H31" s="299"/>
      <c r="I31" s="299"/>
    </row>
    <row r="32" spans="1:9" x14ac:dyDescent="0.25">
      <c r="A32" s="300" t="s">
        <v>1022</v>
      </c>
      <c r="B32" s="300"/>
      <c r="C32" s="300"/>
      <c r="D32" s="300"/>
      <c r="E32" s="300"/>
      <c r="F32" s="300"/>
      <c r="G32" s="300"/>
      <c r="H32" s="300"/>
      <c r="I32" s="300"/>
    </row>
  </sheetData>
  <mergeCells count="9">
    <mergeCell ref="C6:E6"/>
    <mergeCell ref="F6:H6"/>
    <mergeCell ref="A6:A7"/>
    <mergeCell ref="C7:E7"/>
    <mergeCell ref="F7:H7"/>
    <mergeCell ref="B7:B8"/>
    <mergeCell ref="I7:I8"/>
    <mergeCell ref="A31:I31"/>
    <mergeCell ref="A32:I32"/>
  </mergeCells>
  <pageMargins left="0.7" right="0.7" top="0.75" bottom="0.75" header="0.3" footer="0.3"/>
  <pageSetup paperSize="9" orientation="portrait" horizontalDpi="4294967295" verticalDpi="4294967295" scale="54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3"/>
  <sheetViews>
    <sheetView workbookViewId="0" zoomScale="100" zoomScaleNormal="100">
      <selection activeCell="G20" sqref="G20"/>
    </sheetView>
  </sheetViews>
  <sheetFormatPr defaultRowHeight="13.8" outlineLevelRow="0" outlineLevelCol="0" x14ac:dyDescent="0.25" defaultColWidth="11.44140625" customHeight="1"/>
  <cols>
    <col min="1" max="1" width="45.88671875" style="133" customWidth="1"/>
    <col min="2" max="3" width="11.44140625" style="133" customWidth="1"/>
    <col min="4" max="4" width="9.5546875" style="133" customWidth="1"/>
    <col min="5" max="5" width="6.77734375" style="133" customWidth="1"/>
    <col min="6" max="16384" width="11.44140625" style="133" customWidth="1"/>
  </cols>
  <sheetData>
    <row r="6" spans="1:5" x14ac:dyDescent="0.25">
      <c r="A6" s="432" t="s">
        <v>399</v>
      </c>
      <c r="B6" s="432" t="s">
        <v>595</v>
      </c>
      <c r="C6" s="432" t="s">
        <v>596</v>
      </c>
      <c r="D6" s="432" t="s">
        <v>618</v>
      </c>
      <c r="E6" s="432"/>
    </row>
    <row r="7" spans="1:5" x14ac:dyDescent="0.25">
      <c r="A7" s="432"/>
      <c r="B7" s="432"/>
      <c r="C7" s="432"/>
      <c r="D7" s="432" t="s">
        <v>619</v>
      </c>
      <c r="E7" s="432" t="s">
        <v>620</v>
      </c>
    </row>
    <row r="8" spans="1:5" s="429" customFormat="1" x14ac:dyDescent="0.25">
      <c r="A8" s="527" t="s">
        <v>1023</v>
      </c>
      <c r="B8" s="528">
        <v>0</v>
      </c>
      <c r="C8" s="528">
        <v>0</v>
      </c>
      <c r="D8" s="528">
        <f t="shared" ref="D8:D16" si="0">B8-C8</f>
        <v>0</v>
      </c>
      <c r="E8" s="528">
        <f>IF(C8=0,0,(B8-C8)/C8)*100</f>
        <v>0</v>
      </c>
    </row>
    <row r="9" spans="1:5" x14ac:dyDescent="0.25">
      <c r="A9" s="142" t="s">
        <v>1024</v>
      </c>
      <c r="B9" s="169">
        <v>0</v>
      </c>
      <c r="C9" s="169">
        <v>0</v>
      </c>
      <c r="D9" s="528">
        <f t="shared" si="0"/>
        <v>0</v>
      </c>
      <c r="E9" s="528">
        <f t="shared" ref="E9:E29" si="1">IF(C9=0,0,(B9-C9)/C9)*100</f>
        <v>0</v>
      </c>
    </row>
    <row r="10" spans="1:5" x14ac:dyDescent="0.25">
      <c r="A10" s="142" t="s">
        <v>1025</v>
      </c>
      <c r="B10" s="169">
        <v>0</v>
      </c>
      <c r="C10" s="169">
        <v>0</v>
      </c>
      <c r="D10" s="528">
        <f t="shared" si="0"/>
        <v>0</v>
      </c>
      <c r="E10" s="528">
        <f t="shared" si="1"/>
        <v>0</v>
      </c>
    </row>
    <row r="11" spans="1:5" x14ac:dyDescent="0.25">
      <c r="A11" s="142" t="s">
        <v>1026</v>
      </c>
      <c r="B11" s="169">
        <v>0</v>
      </c>
      <c r="C11" s="169">
        <v>0</v>
      </c>
      <c r="D11" s="528">
        <f t="shared" si="0"/>
        <v>0</v>
      </c>
      <c r="E11" s="528">
        <f t="shared" si="1"/>
        <v>0</v>
      </c>
    </row>
    <row r="12" spans="1:5" x14ac:dyDescent="0.25">
      <c r="A12" s="142" t="s">
        <v>1027</v>
      </c>
      <c r="B12" s="169">
        <v>0</v>
      </c>
      <c r="C12" s="169">
        <v>0</v>
      </c>
      <c r="D12" s="528">
        <f t="shared" si="0"/>
        <v>0</v>
      </c>
      <c r="E12" s="528">
        <f t="shared" si="1"/>
        <v>0</v>
      </c>
    </row>
    <row r="13" spans="1:5" x14ac:dyDescent="0.25">
      <c r="A13" s="142" t="s">
        <v>1028</v>
      </c>
      <c r="B13" s="169">
        <v>0</v>
      </c>
      <c r="C13" s="169">
        <v>0</v>
      </c>
      <c r="D13" s="528">
        <f t="shared" si="0"/>
        <v>0</v>
      </c>
      <c r="E13" s="528">
        <f t="shared" si="1"/>
        <v>0</v>
      </c>
    </row>
    <row r="14" spans="1:5" x14ac:dyDescent="0.25">
      <c r="A14" s="142" t="s">
        <v>1029</v>
      </c>
      <c r="B14" s="169">
        <v>0</v>
      </c>
      <c r="C14" s="169">
        <v>0</v>
      </c>
      <c r="D14" s="528">
        <f t="shared" si="0"/>
        <v>0</v>
      </c>
      <c r="E14" s="528">
        <f t="shared" si="1"/>
        <v>0</v>
      </c>
    </row>
    <row r="15" ht="27.6" customHeight="1" spans="1:5" x14ac:dyDescent="0.25">
      <c r="A15" s="142" t="s">
        <v>1030</v>
      </c>
      <c r="B15" s="169">
        <v>0</v>
      </c>
      <c r="C15" s="169">
        <v>0</v>
      </c>
      <c r="D15" s="528">
        <f t="shared" si="0"/>
        <v>0</v>
      </c>
      <c r="E15" s="528">
        <f t="shared" si="1"/>
        <v>0</v>
      </c>
    </row>
    <row r="16" spans="1:5" x14ac:dyDescent="0.25">
      <c r="A16" s="388" t="s">
        <v>1031</v>
      </c>
      <c r="B16" s="180">
        <f>SUM(B8:B15)</f>
        <v>0</v>
      </c>
      <c r="C16" s="180">
        <f>SUM(C8:C15)</f>
        <v>0</v>
      </c>
      <c r="D16" s="180">
        <f t="shared" si="0"/>
        <v>0</v>
      </c>
      <c r="E16" s="529">
        <f t="shared" si="1"/>
        <v>0</v>
      </c>
    </row>
    <row r="17" spans="1:5" x14ac:dyDescent="0.25">
      <c r="A17" s="142" t="s">
        <v>1032</v>
      </c>
      <c r="B17" s="169">
        <v>4268</v>
      </c>
      <c r="C17" s="169">
        <v>0</v>
      </c>
      <c r="D17" s="169">
        <f t="shared" ref="D17:D29" si="2">B17-C17</f>
        <v>0</v>
      </c>
      <c r="E17" s="169">
        <f t="shared" si="1"/>
        <v>0</v>
      </c>
    </row>
    <row r="18" spans="1:5" x14ac:dyDescent="0.25">
      <c r="A18" s="142" t="s">
        <v>1033</v>
      </c>
      <c r="B18" s="169">
        <v>0</v>
      </c>
      <c r="C18" s="169">
        <v>0</v>
      </c>
      <c r="D18" s="169">
        <f t="shared" si="2"/>
        <v>0</v>
      </c>
      <c r="E18" s="169">
        <f t="shared" si="1"/>
        <v>0</v>
      </c>
    </row>
    <row r="19" spans="1:5" x14ac:dyDescent="0.25">
      <c r="A19" s="142" t="s">
        <v>1034</v>
      </c>
      <c r="B19" s="169">
        <v>0</v>
      </c>
      <c r="C19" s="169">
        <v>0</v>
      </c>
      <c r="D19" s="169">
        <f t="shared" si="2"/>
        <v>0</v>
      </c>
      <c r="E19" s="169">
        <f t="shared" si="1"/>
        <v>0</v>
      </c>
    </row>
    <row r="20" spans="1:5" x14ac:dyDescent="0.25">
      <c r="A20" s="142" t="s">
        <v>1035</v>
      </c>
      <c r="B20" s="169">
        <v>0</v>
      </c>
      <c r="C20" s="169">
        <v>0</v>
      </c>
      <c r="D20" s="169">
        <f t="shared" si="2"/>
        <v>0</v>
      </c>
      <c r="E20" s="169">
        <f t="shared" si="1"/>
        <v>0</v>
      </c>
    </row>
    <row r="21" spans="1:5" x14ac:dyDescent="0.25">
      <c r="A21" s="142" t="s">
        <v>1036</v>
      </c>
      <c r="B21" s="169"/>
      <c r="C21" s="169"/>
      <c r="D21" s="169">
        <f t="shared" si="2"/>
        <v>0</v>
      </c>
      <c r="E21" s="169">
        <f t="shared" si="1"/>
        <v>0</v>
      </c>
    </row>
    <row r="22" spans="1:5" x14ac:dyDescent="0.25">
      <c r="A22" s="142" t="s">
        <v>1037</v>
      </c>
      <c r="B22" s="169">
        <v>0</v>
      </c>
      <c r="C22" s="169">
        <v>0</v>
      </c>
      <c r="D22" s="169">
        <f t="shared" si="2"/>
        <v>0</v>
      </c>
      <c r="E22" s="169">
        <f t="shared" si="1"/>
        <v>0</v>
      </c>
    </row>
    <row r="23" spans="1:5" x14ac:dyDescent="0.25">
      <c r="A23" s="142" t="s">
        <v>1038</v>
      </c>
      <c r="B23" s="169">
        <v>0</v>
      </c>
      <c r="C23" s="169">
        <v>0</v>
      </c>
      <c r="D23" s="169">
        <f t="shared" si="2"/>
        <v>0</v>
      </c>
      <c r="E23" s="169">
        <f t="shared" si="1"/>
        <v>0</v>
      </c>
    </row>
    <row r="24" spans="1:5" x14ac:dyDescent="0.25">
      <c r="A24" s="142" t="s">
        <v>1039</v>
      </c>
      <c r="B24" s="169">
        <v>0</v>
      </c>
      <c r="C24" s="169">
        <v>0</v>
      </c>
      <c r="D24" s="169">
        <f t="shared" si="2"/>
        <v>0</v>
      </c>
      <c r="E24" s="169">
        <f t="shared" si="1"/>
        <v>0</v>
      </c>
    </row>
    <row r="25" spans="1:5" x14ac:dyDescent="0.25">
      <c r="A25" s="142" t="s">
        <v>1040</v>
      </c>
      <c r="B25" s="169">
        <v>0</v>
      </c>
      <c r="C25" s="169">
        <v>0</v>
      </c>
      <c r="D25" s="169">
        <f t="shared" si="2"/>
        <v>0</v>
      </c>
      <c r="E25" s="169">
        <f t="shared" si="1"/>
        <v>0</v>
      </c>
    </row>
    <row r="26" ht="27.6" customHeight="1" spans="1:5" x14ac:dyDescent="0.25">
      <c r="A26" s="142" t="s">
        <v>1041</v>
      </c>
      <c r="B26" s="169">
        <v>0</v>
      </c>
      <c r="C26" s="169">
        <v>0</v>
      </c>
      <c r="D26" s="169">
        <f t="shared" si="2"/>
        <v>0</v>
      </c>
      <c r="E26" s="169">
        <f t="shared" si="1"/>
        <v>0</v>
      </c>
    </row>
    <row r="27" spans="1:5" x14ac:dyDescent="0.25">
      <c r="A27" s="388" t="s">
        <v>1042</v>
      </c>
      <c r="B27" s="180">
        <f>SUM(B17:B26)</f>
        <v>0</v>
      </c>
      <c r="C27" s="180">
        <f t="shared" ref="C27" si="3">SUM(C17:C26)</f>
        <v>0</v>
      </c>
      <c r="D27" s="180">
        <f t="shared" si="2"/>
        <v>0</v>
      </c>
      <c r="E27" s="180">
        <f t="shared" si="1"/>
        <v>0</v>
      </c>
    </row>
    <row r="28" spans="1:5" x14ac:dyDescent="0.25">
      <c r="A28" s="142"/>
      <c r="B28" s="169"/>
      <c r="C28" s="169"/>
      <c r="D28" s="169"/>
      <c r="E28" s="169"/>
    </row>
    <row r="29" spans="1:5" x14ac:dyDescent="0.25">
      <c r="A29" s="312" t="s">
        <v>435</v>
      </c>
      <c r="B29" s="381">
        <f>B16+B27</f>
        <v>0</v>
      </c>
      <c r="C29" s="381">
        <f t="shared" ref="C29" si="4">C16+C27</f>
        <v>0</v>
      </c>
      <c r="D29" s="381">
        <f t="shared" si="2"/>
        <v>0</v>
      </c>
      <c r="E29" s="381">
        <f t="shared" si="1"/>
        <v>0</v>
      </c>
    </row>
    <row r="30" spans="1:1" x14ac:dyDescent="0.25">
      <c r="A30" s="530"/>
    </row>
    <row r="31" spans="1:5" x14ac:dyDescent="0.25">
      <c r="A31" s="531" t="s">
        <v>1043</v>
      </c>
      <c r="B31" s="186"/>
      <c r="C31" s="186"/>
      <c r="D31" s="186"/>
      <c r="E31" s="186"/>
    </row>
    <row r="32" spans="1:5" x14ac:dyDescent="0.25">
      <c r="A32" s="461" t="s">
        <v>1044</v>
      </c>
      <c r="B32" s="461"/>
      <c r="C32" s="461"/>
      <c r="D32" s="461"/>
      <c r="E32" s="461"/>
    </row>
    <row r="33" spans="1:5" x14ac:dyDescent="0.25">
      <c r="A33" s="461" t="s">
        <v>1045</v>
      </c>
      <c r="B33" s="461"/>
      <c r="C33" s="461"/>
      <c r="D33" s="461"/>
      <c r="E33" s="461"/>
    </row>
  </sheetData>
  <mergeCells count="6">
    <mergeCell ref="D6:E6"/>
    <mergeCell ref="A6:A7"/>
    <mergeCell ref="B6:B7"/>
    <mergeCell ref="C6:C7"/>
    <mergeCell ref="A32:E32"/>
    <mergeCell ref="A33:E33"/>
  </mergeCells>
  <pageMargins left="0.7" right="0.7" top="0.75" bottom="0.75" header="0.3" footer="0.3"/>
  <pageSetup paperSize="9" orientation="portrait" horizontalDpi="4294967295" verticalDpi="4294967295" scale="90" fitToWidth="1" fitToHeight="1" firstPageNumber="1" useFirstPageNumber="1" copies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2"/>
  <sheetViews>
    <sheetView workbookViewId="0" zoomScale="100" zoomScaleNormal="100">
      <selection activeCell="G1" sqref="G1"/>
    </sheetView>
  </sheetViews>
  <sheetFormatPr defaultRowHeight="13.8" outlineLevelRow="0" outlineLevelCol="0" x14ac:dyDescent="0.25" defaultColWidth="11.44140625" customHeight="1"/>
  <cols>
    <col min="1" max="1" width="54.5546875" style="133" customWidth="1"/>
    <col min="2" max="2" width="8" style="133" customWidth="1"/>
    <col min="3" max="3" width="8.109375" style="133" customWidth="1"/>
    <col min="4" max="4" width="8.5546875" style="133" customWidth="1"/>
    <col min="5" max="5" width="5.44140625" style="133" customWidth="1"/>
    <col min="6" max="16384" width="11.44140625" style="133" customWidth="1"/>
  </cols>
  <sheetData>
    <row r="6" spans="1:5" x14ac:dyDescent="0.25">
      <c r="A6" s="532" t="s">
        <v>1046</v>
      </c>
      <c r="B6" s="533" t="s">
        <v>595</v>
      </c>
      <c r="C6" s="533" t="s">
        <v>596</v>
      </c>
      <c r="D6" s="534" t="s">
        <v>618</v>
      </c>
      <c r="E6" s="534"/>
    </row>
    <row r="7" spans="1:5" x14ac:dyDescent="0.25">
      <c r="A7" s="535"/>
      <c r="B7" s="536"/>
      <c r="C7" s="536"/>
      <c r="D7" s="402" t="s">
        <v>725</v>
      </c>
      <c r="E7" s="402" t="s">
        <v>620</v>
      </c>
    </row>
    <row r="8" spans="1:5" x14ac:dyDescent="0.25">
      <c r="A8" s="169" t="s">
        <v>1047</v>
      </c>
      <c r="B8" s="169">
        <v>0</v>
      </c>
      <c r="C8" s="169">
        <v>0</v>
      </c>
      <c r="D8" s="169">
        <f>B8-C8</f>
        <v>0</v>
      </c>
      <c r="E8" s="169">
        <f>IF(C8=0,0,(B8-C8)/C8)*100</f>
        <v>0</v>
      </c>
    </row>
    <row r="9" spans="1:5" x14ac:dyDescent="0.25">
      <c r="A9" s="169" t="s">
        <v>1048</v>
      </c>
      <c r="B9" s="169">
        <v>0</v>
      </c>
      <c r="C9" s="169">
        <v>0</v>
      </c>
      <c r="D9" s="169">
        <f t="shared" ref="D9:D27" si="0">B9-C9</f>
        <v>0</v>
      </c>
      <c r="E9" s="169">
        <f t="shared" ref="E9:E27" si="1">IF(C9=0,0,(B9-C9)/C9)*100</f>
        <v>0</v>
      </c>
    </row>
    <row r="10" spans="1:5" x14ac:dyDescent="0.25">
      <c r="A10" s="537" t="s">
        <v>1049</v>
      </c>
      <c r="B10" s="169">
        <v>0</v>
      </c>
      <c r="C10" s="169">
        <v>0</v>
      </c>
      <c r="D10" s="169">
        <f t="shared" si="0"/>
        <v>0</v>
      </c>
      <c r="E10" s="169">
        <f t="shared" si="1"/>
        <v>0</v>
      </c>
    </row>
    <row r="11" spans="1:5" x14ac:dyDescent="0.25">
      <c r="A11" s="169" t="s">
        <v>1050</v>
      </c>
      <c r="B11" s="169">
        <v>0</v>
      </c>
      <c r="C11" s="169">
        <v>0</v>
      </c>
      <c r="D11" s="169">
        <f t="shared" si="0"/>
        <v>0</v>
      </c>
      <c r="E11" s="169">
        <f t="shared" si="1"/>
        <v>0</v>
      </c>
    </row>
    <row r="12" spans="1:5" x14ac:dyDescent="0.25">
      <c r="A12" s="169" t="s">
        <v>1051</v>
      </c>
      <c r="B12" s="169">
        <v>0</v>
      </c>
      <c r="C12" s="169">
        <v>0</v>
      </c>
      <c r="D12" s="169">
        <f t="shared" si="0"/>
        <v>0</v>
      </c>
      <c r="E12" s="169">
        <f t="shared" si="1"/>
        <v>0</v>
      </c>
    </row>
    <row r="13" spans="1:5" x14ac:dyDescent="0.25">
      <c r="A13" s="169" t="s">
        <v>1052</v>
      </c>
      <c r="B13" s="169">
        <v>0</v>
      </c>
      <c r="C13" s="169">
        <v>0</v>
      </c>
      <c r="D13" s="169">
        <f t="shared" si="0"/>
        <v>0</v>
      </c>
      <c r="E13" s="169">
        <f t="shared" si="1"/>
        <v>0</v>
      </c>
    </row>
    <row r="14" ht="27.6" customHeight="1" spans="1:5" x14ac:dyDescent="0.25">
      <c r="A14" s="174" t="s">
        <v>1053</v>
      </c>
      <c r="B14" s="169">
        <v>0</v>
      </c>
      <c r="C14" s="169">
        <v>0</v>
      </c>
      <c r="D14" s="169">
        <f t="shared" si="0"/>
        <v>0</v>
      </c>
      <c r="E14" s="169">
        <f t="shared" si="1"/>
        <v>0</v>
      </c>
    </row>
    <row r="15" spans="1:5" x14ac:dyDescent="0.25">
      <c r="A15" s="169" t="s">
        <v>1054</v>
      </c>
      <c r="B15" s="169">
        <v>0</v>
      </c>
      <c r="C15" s="169">
        <v>0</v>
      </c>
      <c r="D15" s="169">
        <f t="shared" si="0"/>
        <v>0</v>
      </c>
      <c r="E15" s="169">
        <f t="shared" si="1"/>
        <v>0</v>
      </c>
    </row>
    <row r="16" spans="1:5" x14ac:dyDescent="0.25">
      <c r="A16" s="205" t="s">
        <v>1055</v>
      </c>
      <c r="B16" s="180">
        <f>SUM(B8:B15)</f>
        <v>0</v>
      </c>
      <c r="C16" s="180">
        <f>SUM(C8:C15)</f>
        <v>0</v>
      </c>
      <c r="D16" s="180">
        <f t="shared" si="0"/>
        <v>0</v>
      </c>
      <c r="E16" s="180">
        <f t="shared" si="1"/>
        <v>0</v>
      </c>
    </row>
    <row r="17" spans="1:5" x14ac:dyDescent="0.25">
      <c r="A17" s="169" t="s">
        <v>1056</v>
      </c>
      <c r="B17" s="169">
        <v>0</v>
      </c>
      <c r="C17" s="169">
        <v>0</v>
      </c>
      <c r="D17" s="169">
        <f t="shared" si="0"/>
        <v>0</v>
      </c>
      <c r="E17" s="169">
        <f t="shared" si="1"/>
        <v>0</v>
      </c>
    </row>
    <row r="18" spans="1:5" x14ac:dyDescent="0.25">
      <c r="A18" s="169" t="s">
        <v>1057</v>
      </c>
      <c r="B18" s="169">
        <v>0</v>
      </c>
      <c r="C18" s="169">
        <v>0</v>
      </c>
      <c r="D18" s="169">
        <f t="shared" si="0"/>
        <v>0</v>
      </c>
      <c r="E18" s="169">
        <f t="shared" si="1"/>
        <v>0</v>
      </c>
    </row>
    <row r="19" spans="1:5" x14ac:dyDescent="0.25">
      <c r="A19" s="169" t="s">
        <v>1058</v>
      </c>
      <c r="B19" s="169">
        <v>0</v>
      </c>
      <c r="C19" s="169">
        <v>0</v>
      </c>
      <c r="D19" s="169">
        <f t="shared" si="0"/>
        <v>0</v>
      </c>
      <c r="E19" s="169">
        <f t="shared" si="1"/>
        <v>0</v>
      </c>
    </row>
    <row r="20" spans="1:5" x14ac:dyDescent="0.25">
      <c r="A20" s="169" t="s">
        <v>1059</v>
      </c>
      <c r="B20" s="169">
        <v>0</v>
      </c>
      <c r="C20" s="169">
        <v>0</v>
      </c>
      <c r="D20" s="169">
        <f t="shared" si="0"/>
        <v>0</v>
      </c>
      <c r="E20" s="169">
        <f t="shared" si="1"/>
        <v>0</v>
      </c>
    </row>
    <row r="21" spans="1:5" x14ac:dyDescent="0.25">
      <c r="A21" s="169" t="s">
        <v>1060</v>
      </c>
      <c r="B21" s="169">
        <v>0</v>
      </c>
      <c r="C21" s="169">
        <v>0</v>
      </c>
      <c r="D21" s="169">
        <f t="shared" si="0"/>
        <v>0</v>
      </c>
      <c r="E21" s="169">
        <f t="shared" si="1"/>
        <v>0</v>
      </c>
    </row>
    <row r="22" spans="1:5" x14ac:dyDescent="0.25">
      <c r="A22" s="169" t="s">
        <v>1061</v>
      </c>
      <c r="B22" s="169">
        <v>0</v>
      </c>
      <c r="C22" s="169">
        <v>0</v>
      </c>
      <c r="D22" s="169">
        <f t="shared" si="0"/>
        <v>0</v>
      </c>
      <c r="E22" s="169">
        <f t="shared" si="1"/>
        <v>0</v>
      </c>
    </row>
    <row r="23" spans="1:5" x14ac:dyDescent="0.25">
      <c r="A23" s="169" t="s">
        <v>1062</v>
      </c>
      <c r="B23" s="169">
        <v>0</v>
      </c>
      <c r="C23" s="169">
        <v>0</v>
      </c>
      <c r="D23" s="169">
        <f t="shared" si="0"/>
        <v>0</v>
      </c>
      <c r="E23" s="169">
        <f t="shared" si="1"/>
        <v>0</v>
      </c>
    </row>
    <row r="24" ht="27.6" customHeight="1" spans="1:5" x14ac:dyDescent="0.25">
      <c r="A24" s="174" t="s">
        <v>1063</v>
      </c>
      <c r="B24" s="169">
        <v>0</v>
      </c>
      <c r="C24" s="169">
        <v>0</v>
      </c>
      <c r="D24" s="169">
        <f t="shared" si="0"/>
        <v>0</v>
      </c>
      <c r="E24" s="169">
        <f t="shared" si="1"/>
        <v>0</v>
      </c>
    </row>
    <row r="25" spans="1:5" x14ac:dyDescent="0.25">
      <c r="A25" s="169" t="s">
        <v>1064</v>
      </c>
      <c r="B25" s="169">
        <v>0</v>
      </c>
      <c r="C25" s="169">
        <v>0</v>
      </c>
      <c r="D25" s="169">
        <f t="shared" si="0"/>
        <v>0</v>
      </c>
      <c r="E25" s="169">
        <f t="shared" si="1"/>
        <v>0</v>
      </c>
    </row>
    <row r="26" spans="1:5" x14ac:dyDescent="0.25">
      <c r="A26" s="169" t="s">
        <v>1065</v>
      </c>
      <c r="B26" s="169">
        <v>0</v>
      </c>
      <c r="C26" s="169">
        <v>0</v>
      </c>
      <c r="D26" s="169">
        <f t="shared" si="0"/>
        <v>0</v>
      </c>
      <c r="E26" s="169">
        <f t="shared" si="1"/>
        <v>0</v>
      </c>
    </row>
    <row r="27" spans="1:5" x14ac:dyDescent="0.25">
      <c r="A27" s="205" t="s">
        <v>1066</v>
      </c>
      <c r="B27" s="180">
        <f>SUM(B17:B26)</f>
        <v>0</v>
      </c>
      <c r="C27" s="180">
        <f t="shared" ref="C27" si="2">SUM(C17:C26)</f>
        <v>0</v>
      </c>
      <c r="D27" s="180">
        <f t="shared" si="0"/>
        <v>0</v>
      </c>
      <c r="E27" s="180">
        <f t="shared" si="1"/>
        <v>0</v>
      </c>
    </row>
    <row r="28" spans="1:5" x14ac:dyDescent="0.25">
      <c r="A28" s="169"/>
      <c r="B28" s="169"/>
      <c r="C28" s="169"/>
      <c r="D28" s="169"/>
      <c r="E28" s="169"/>
    </row>
    <row r="29" spans="1:5" x14ac:dyDescent="0.25">
      <c r="A29" s="209" t="s">
        <v>435</v>
      </c>
      <c r="B29" s="172">
        <f> B16+B27</f>
        <v>0</v>
      </c>
      <c r="C29" s="172">
        <f> C16+C27</f>
        <v>0</v>
      </c>
      <c r="D29" s="172">
        <f t="shared" ref="D29" si="3"> D16+D27</f>
        <v>0</v>
      </c>
      <c r="E29" s="172">
        <f> E16+E27</f>
        <v>0</v>
      </c>
    </row>
    <row r="30" spans="1:5" x14ac:dyDescent="0.25">
      <c r="A30" s="538"/>
      <c r="B30" s="538"/>
      <c r="C30" s="538"/>
      <c r="D30" s="538"/>
      <c r="E30" s="538"/>
    </row>
    <row r="31" ht="14.4" customHeight="1" spans="1:1" x14ac:dyDescent="0.25">
      <c r="A31" s="299" t="s">
        <v>718</v>
      </c>
    </row>
    <row r="32" spans="1:1" x14ac:dyDescent="0.25">
      <c r="A32" s="300" t="s">
        <v>1067</v>
      </c>
    </row>
  </sheetData>
  <mergeCells count="4">
    <mergeCell ref="D6:E6"/>
    <mergeCell ref="A6:A7"/>
    <mergeCell ref="B6:B7"/>
    <mergeCell ref="C6:C7"/>
  </mergeCells>
  <pageMargins left="0.7" right="0.7" top="0.75" bottom="0.75" header="0.3" footer="0.3"/>
  <pageSetup paperSize="9" orientation="portrait" horizontalDpi="4294967295" verticalDpi="4294967295" scale="91" fitToWidth="1" fitToHeight="1" firstPageNumber="1" useFirstPageNumber="1" copies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45"/>
  <sheetViews>
    <sheetView workbookViewId="0" zoomScale="100" zoomScaleNormal="100">
      <selection activeCell="G1" sqref="G1"/>
    </sheetView>
  </sheetViews>
  <sheetFormatPr defaultRowHeight="13.8" outlineLevelRow="0" outlineLevelCol="0" x14ac:dyDescent="0.25" defaultColWidth="11.44140625" customHeight="1"/>
  <cols>
    <col min="1" max="1" width="66.88671875" style="133" customWidth="1"/>
    <col min="2" max="2" width="7.88671875" style="133" customWidth="1"/>
    <col min="3" max="3" width="8.21875" style="133" customWidth="1"/>
    <col min="4" max="4" width="11.44140625" style="133" customWidth="1"/>
    <col min="5" max="5" width="6.5546875" style="133" customWidth="1"/>
    <col min="6" max="16384" width="11.44140625" style="133" customWidth="1"/>
  </cols>
  <sheetData>
    <row r="6" ht="27" customHeight="1" spans="1:5" x14ac:dyDescent="0.25">
      <c r="A6" s="341" t="s">
        <v>1068</v>
      </c>
      <c r="B6" s="539" t="s">
        <v>595</v>
      </c>
      <c r="C6" s="539" t="s">
        <v>596</v>
      </c>
      <c r="D6" s="402" t="s">
        <v>1069</v>
      </c>
      <c r="E6" s="402"/>
    </row>
    <row r="7" ht="29.25" customHeight="1" spans="1:5" x14ac:dyDescent="0.25">
      <c r="A7" s="402"/>
      <c r="B7" s="539"/>
      <c r="C7" s="539"/>
      <c r="D7" s="402" t="s">
        <v>1070</v>
      </c>
      <c r="E7" s="402" t="s">
        <v>1071</v>
      </c>
    </row>
    <row r="8" spans="1:5" x14ac:dyDescent="0.25">
      <c r="A8" s="540" t="s">
        <v>1072</v>
      </c>
      <c r="B8" s="541"/>
      <c r="C8" s="541"/>
      <c r="D8" s="541"/>
      <c r="E8" s="542"/>
    </row>
    <row r="9" spans="1:5" x14ac:dyDescent="0.25">
      <c r="A9" s="543" t="s">
        <v>1073</v>
      </c>
      <c r="B9" s="270">
        <f>SUM(B10:B15)</f>
        <v>0</v>
      </c>
      <c r="C9" s="270">
        <f>SUM(C10:C15)</f>
        <v>0</v>
      </c>
      <c r="D9" s="270">
        <f>B9-C9</f>
        <v>0</v>
      </c>
      <c r="E9" s="270">
        <f>IF(C9=0,0,(B9-C9)/C9)*100</f>
      </c>
    </row>
    <row r="10" spans="1:5" x14ac:dyDescent="0.25">
      <c r="A10" s="169" t="s">
        <v>1074</v>
      </c>
      <c r="B10" s="270"/>
      <c r="C10" s="270"/>
      <c r="D10" s="270">
        <f t="shared" ref="D10:D15" si="0">B10-C10</f>
        <v>0</v>
      </c>
      <c r="E10" s="270">
        <f>IF(C10=0,0,(B10-C10)/C10)*100</f>
      </c>
    </row>
    <row r="11" spans="1:5" x14ac:dyDescent="0.25">
      <c r="A11" s="169" t="s">
        <v>1075</v>
      </c>
      <c r="B11" s="270"/>
      <c r="C11" s="270"/>
      <c r="D11" s="270">
        <f t="shared" si="0"/>
        <v>0</v>
      </c>
      <c r="E11" s="270">
        <f>IF(C11=0,0,(B11-C11)/C11)*100</f>
      </c>
    </row>
    <row r="12" spans="1:5" x14ac:dyDescent="0.25">
      <c r="A12" s="169" t="s">
        <v>1076</v>
      </c>
      <c r="B12" s="270"/>
      <c r="C12" s="270"/>
      <c r="D12" s="270">
        <f t="shared" si="0"/>
        <v>0</v>
      </c>
      <c r="E12" s="270">
        <f>IF(C12=0,0,(B12-C12)/C12)*100</f>
      </c>
    </row>
    <row r="13" spans="1:5" x14ac:dyDescent="0.25">
      <c r="A13" s="169" t="s">
        <v>1077</v>
      </c>
      <c r="B13" s="270"/>
      <c r="C13" s="270"/>
      <c r="D13" s="270">
        <f t="shared" si="0"/>
        <v>0</v>
      </c>
      <c r="E13" s="270">
        <f>IF(C13=0,0,(B13-C13)/C13)*100</f>
      </c>
    </row>
    <row r="14" spans="1:5" x14ac:dyDescent="0.25">
      <c r="A14" s="169" t="s">
        <v>1078</v>
      </c>
      <c r="B14" s="270"/>
      <c r="C14" s="270"/>
      <c r="D14" s="270">
        <f t="shared" si="0"/>
        <v>0</v>
      </c>
      <c r="E14" s="270">
        <f>IF(C14=0,0,(B14-C14)/C14)*100</f>
      </c>
    </row>
    <row r="15" ht="27.6" customHeight="1" spans="1:5" x14ac:dyDescent="0.25">
      <c r="A15" s="174" t="s">
        <v>1079</v>
      </c>
      <c r="B15" s="270"/>
      <c r="C15" s="270"/>
      <c r="D15" s="270">
        <f t="shared" si="0"/>
        <v>0</v>
      </c>
      <c r="E15" s="270">
        <f>IF(C15=0,0,(B15-C15)/C15)*100</f>
      </c>
    </row>
    <row r="16" spans="1:5" x14ac:dyDescent="0.25">
      <c r="A16" s="544" t="s">
        <v>1080</v>
      </c>
      <c r="B16" s="545"/>
      <c r="C16" s="545"/>
      <c r="D16" s="545"/>
      <c r="E16" s="546"/>
    </row>
    <row r="17" spans="1:5" x14ac:dyDescent="0.25">
      <c r="A17" s="169" t="s">
        <v>1081</v>
      </c>
      <c r="B17" s="169"/>
      <c r="C17" s="169"/>
      <c r="D17" s="169">
        <f>B17-C17</f>
        <v>0</v>
      </c>
      <c r="E17" s="169">
        <f>IF(C17=0,0,(B17-C17)/C17)*100</f>
        <v>0</v>
      </c>
    </row>
    <row r="18" spans="1:5" x14ac:dyDescent="0.25">
      <c r="A18" s="169" t="s">
        <v>1082</v>
      </c>
      <c r="B18" s="169"/>
      <c r="C18" s="169"/>
      <c r="D18" s="169">
        <f t="shared" ref="D18:D30" si="1">B18-C18</f>
        <v>0</v>
      </c>
      <c r="E18" s="169">
        <f t="shared" ref="E18:E30" si="2">IF(C18=0,0,(B18-C18)/C18)*100</f>
        <v>0</v>
      </c>
    </row>
    <row r="19" spans="1:5" x14ac:dyDescent="0.25">
      <c r="A19" s="168" t="s">
        <v>1083</v>
      </c>
      <c r="B19" s="169">
        <f>B17+B18</f>
        <v>0</v>
      </c>
      <c r="C19" s="169">
        <f t="shared" ref="C19" si="3">C17+C18</f>
        <v>0</v>
      </c>
      <c r="D19" s="169">
        <f t="shared" si="1"/>
        <v>0</v>
      </c>
      <c r="E19" s="169">
        <f t="shared" si="2"/>
        <v>0</v>
      </c>
    </row>
    <row r="20" spans="1:5" x14ac:dyDescent="0.25">
      <c r="A20" s="169" t="s">
        <v>1084</v>
      </c>
      <c r="B20" s="169"/>
      <c r="C20" s="169"/>
      <c r="D20" s="169">
        <f t="shared" si="1"/>
        <v>0</v>
      </c>
      <c r="E20" s="169">
        <f t="shared" si="2"/>
        <v>0</v>
      </c>
    </row>
    <row r="21" spans="1:5" x14ac:dyDescent="0.25">
      <c r="A21" s="547" t="s">
        <v>1085</v>
      </c>
      <c r="B21" s="180">
        <f>B19-B20</f>
        <v>0</v>
      </c>
      <c r="C21" s="180">
        <f t="shared" ref="C21" si="4">C19-C20</f>
        <v>0</v>
      </c>
      <c r="D21" s="180">
        <f t="shared" si="1"/>
        <v>0</v>
      </c>
      <c r="E21" s="180">
        <f t="shared" si="2"/>
        <v>0</v>
      </c>
    </row>
    <row r="22" spans="1:5" x14ac:dyDescent="0.25">
      <c r="A22" s="169" t="s">
        <v>1086</v>
      </c>
      <c r="B22" s="169"/>
      <c r="C22" s="169"/>
      <c r="D22" s="169">
        <f t="shared" si="1"/>
        <v>0</v>
      </c>
      <c r="E22" s="169">
        <f t="shared" si="2"/>
        <v>0</v>
      </c>
    </row>
    <row r="23" spans="1:5" x14ac:dyDescent="0.25">
      <c r="A23" s="168" t="s">
        <v>1087</v>
      </c>
      <c r="B23" s="169"/>
      <c r="C23" s="169"/>
      <c r="D23" s="169">
        <f t="shared" si="1"/>
        <v>0</v>
      </c>
      <c r="E23" s="169">
        <f t="shared" si="2"/>
        <v>0</v>
      </c>
    </row>
    <row r="24" spans="1:5" x14ac:dyDescent="0.25">
      <c r="A24" s="169" t="s">
        <v>1088</v>
      </c>
      <c r="B24" s="169">
        <f>B22-B23</f>
        <v>0</v>
      </c>
      <c r="C24" s="169">
        <f t="shared" ref="C24" si="5">C22-C23</f>
        <v>0</v>
      </c>
      <c r="D24" s="169">
        <f t="shared" si="1"/>
        <v>0</v>
      </c>
      <c r="E24" s="169">
        <f t="shared" si="2"/>
        <v>0</v>
      </c>
    </row>
    <row r="25" spans="1:5" x14ac:dyDescent="0.25">
      <c r="A25" s="168" t="s">
        <v>1089</v>
      </c>
      <c r="B25" s="169"/>
      <c r="C25" s="169"/>
      <c r="D25" s="169">
        <f t="shared" si="1"/>
        <v>0</v>
      </c>
      <c r="E25" s="169">
        <f t="shared" si="2"/>
        <v>0</v>
      </c>
    </row>
    <row r="26" spans="1:5" x14ac:dyDescent="0.25">
      <c r="A26" s="169" t="s">
        <v>1090</v>
      </c>
      <c r="B26" s="169"/>
      <c r="C26" s="169"/>
      <c r="D26" s="169">
        <f t="shared" si="1"/>
        <v>0</v>
      </c>
      <c r="E26" s="169">
        <f t="shared" si="2"/>
        <v>0</v>
      </c>
    </row>
    <row r="27" spans="1:5" x14ac:dyDescent="0.25">
      <c r="A27" s="168" t="s">
        <v>1091</v>
      </c>
      <c r="B27" s="169">
        <f>B25-B26</f>
        <v>0</v>
      </c>
      <c r="C27" s="169">
        <f t="shared" ref="C27" si="6">C25-C26</f>
        <v>0</v>
      </c>
      <c r="D27" s="169">
        <f t="shared" si="1"/>
        <v>0</v>
      </c>
      <c r="E27" s="169">
        <f t="shared" si="2"/>
        <v>0</v>
      </c>
    </row>
    <row r="28" spans="1:5" x14ac:dyDescent="0.25">
      <c r="A28" s="181" t="s">
        <v>1092</v>
      </c>
      <c r="B28" s="180">
        <f>B24+B27</f>
        <v>0</v>
      </c>
      <c r="C28" s="180">
        <f t="shared" ref="C28" si="7">C24+C27</f>
        <v>0</v>
      </c>
      <c r="D28" s="180">
        <f t="shared" si="1"/>
        <v>0</v>
      </c>
      <c r="E28" s="180">
        <f t="shared" si="2"/>
        <v>0</v>
      </c>
    </row>
    <row r="29" spans="1:5" x14ac:dyDescent="0.25">
      <c r="A29" s="181" t="s">
        <v>1093</v>
      </c>
      <c r="B29" s="180">
        <f>B21-B28</f>
        <v>0</v>
      </c>
      <c r="C29" s="180">
        <f t="shared" ref="C29" si="8">C21-C28</f>
        <v>0</v>
      </c>
      <c r="D29" s="180">
        <f t="shared" si="1"/>
        <v>0</v>
      </c>
      <c r="E29" s="180">
        <f t="shared" si="2"/>
        <v>0</v>
      </c>
    </row>
    <row r="30" ht="27.6" customHeight="1" spans="1:5" x14ac:dyDescent="0.25">
      <c r="A30" s="174" t="s">
        <v>1094</v>
      </c>
      <c r="B30" s="169"/>
      <c r="C30" s="169"/>
      <c r="D30" s="169">
        <f t="shared" si="1"/>
        <v>0</v>
      </c>
      <c r="E30" s="169">
        <f t="shared" si="2"/>
        <v>0</v>
      </c>
    </row>
    <row r="31" spans="1:5" x14ac:dyDescent="0.25">
      <c r="A31" s="544" t="s">
        <v>1095</v>
      </c>
      <c r="B31" s="545"/>
      <c r="C31" s="545"/>
      <c r="D31" s="545"/>
      <c r="E31" s="546"/>
    </row>
    <row r="32" spans="1:5" x14ac:dyDescent="0.25">
      <c r="A32" s="169" t="s">
        <v>1096</v>
      </c>
      <c r="B32" s="169"/>
      <c r="C32" s="169"/>
      <c r="D32" s="169"/>
      <c r="E32" s="169"/>
    </row>
    <row r="33" spans="1:5" x14ac:dyDescent="0.25">
      <c r="A33" s="544" t="s">
        <v>1097</v>
      </c>
      <c r="B33" s="545"/>
      <c r="C33" s="545"/>
      <c r="D33" s="545"/>
      <c r="E33" s="546"/>
    </row>
    <row r="34" spans="1:5" x14ac:dyDescent="0.25">
      <c r="A34" s="169" t="s">
        <v>1098</v>
      </c>
      <c r="B34" s="169"/>
      <c r="C34" s="169"/>
      <c r="D34" s="169">
        <f>B34-C34</f>
        <v>0</v>
      </c>
      <c r="E34" s="169">
        <f>IF(C34=0,0,(B34-C34)/C34)*100</f>
        <v>0</v>
      </c>
    </row>
    <row r="35" spans="1:5" x14ac:dyDescent="0.25">
      <c r="A35" s="169" t="s">
        <v>1099</v>
      </c>
      <c r="B35" s="169"/>
      <c r="C35" s="169"/>
      <c r="D35" s="169">
        <f t="shared" ref="D35:D37" si="9">B35-C35</f>
        <v>0</v>
      </c>
      <c r="E35" s="169">
        <f t="shared" ref="E35:E37" si="10">IF(C35=0,0,(B35-C35)/C35)*100</f>
        <v>0</v>
      </c>
    </row>
    <row r="36" spans="1:5" x14ac:dyDescent="0.25">
      <c r="A36" s="169" t="s">
        <v>1100</v>
      </c>
      <c r="B36" s="169"/>
      <c r="C36" s="169"/>
      <c r="D36" s="169">
        <f t="shared" si="9"/>
        <v>0</v>
      </c>
      <c r="E36" s="169">
        <f t="shared" si="10"/>
        <v>0</v>
      </c>
    </row>
    <row r="37" spans="1:5" x14ac:dyDescent="0.25">
      <c r="A37" s="548" t="s">
        <v>1101</v>
      </c>
      <c r="B37" s="508">
        <f>SUM(B34:B36)</f>
        <v>0</v>
      </c>
      <c r="C37" s="508">
        <f t="shared" ref="C37" si="11">SUM(C34:C36)</f>
        <v>0</v>
      </c>
      <c r="D37" s="508">
        <f t="shared" si="9"/>
        <v>0</v>
      </c>
      <c r="E37" s="508">
        <f t="shared" si="10"/>
        <v>0</v>
      </c>
    </row>
    <row r="39" spans="1:6" x14ac:dyDescent="0.25">
      <c r="A39" s="300" t="s">
        <v>1102</v>
      </c>
      <c r="B39" s="300"/>
      <c r="C39" s="300"/>
      <c r="D39" s="300"/>
      <c r="E39" s="300"/>
      <c r="F39" s="300"/>
    </row>
    <row r="40" spans="1:6" x14ac:dyDescent="0.25">
      <c r="A40" s="300" t="s">
        <v>1103</v>
      </c>
      <c r="B40" s="300"/>
      <c r="C40" s="300"/>
      <c r="D40" s="300"/>
      <c r="E40" s="300"/>
      <c r="F40" s="300"/>
    </row>
    <row r="41" spans="1:6" x14ac:dyDescent="0.25">
      <c r="A41" s="300" t="s">
        <v>1104</v>
      </c>
      <c r="B41" s="300"/>
      <c r="C41" s="300"/>
      <c r="D41" s="300"/>
      <c r="E41" s="300"/>
      <c r="F41" s="300"/>
    </row>
    <row r="42" spans="1:6" x14ac:dyDescent="0.25">
      <c r="A42" s="300" t="s">
        <v>1105</v>
      </c>
      <c r="B42" s="300"/>
      <c r="C42" s="300"/>
      <c r="D42" s="300"/>
      <c r="E42" s="300"/>
      <c r="F42" s="300"/>
    </row>
    <row r="43" spans="1:6" x14ac:dyDescent="0.25">
      <c r="A43" s="300" t="s">
        <v>1106</v>
      </c>
      <c r="B43" s="300"/>
      <c r="C43" s="300"/>
      <c r="D43" s="300"/>
      <c r="E43" s="300"/>
      <c r="F43" s="300"/>
    </row>
    <row r="44" spans="1:6" x14ac:dyDescent="0.25">
      <c r="A44" s="300" t="s">
        <v>1107</v>
      </c>
      <c r="B44" s="300"/>
      <c r="C44" s="300"/>
      <c r="D44" s="300"/>
      <c r="E44" s="300"/>
      <c r="F44" s="300"/>
    </row>
    <row r="45" spans="1:6" x14ac:dyDescent="0.25">
      <c r="A45" s="300" t="s">
        <v>1108</v>
      </c>
      <c r="B45" s="300"/>
      <c r="C45" s="300"/>
      <c r="D45" s="300"/>
      <c r="E45" s="300"/>
      <c r="F45" s="300"/>
    </row>
  </sheetData>
  <mergeCells count="15">
    <mergeCell ref="D6:E6"/>
    <mergeCell ref="A6:A7"/>
    <mergeCell ref="B6:B7"/>
    <mergeCell ref="C6:C7"/>
    <mergeCell ref="A8:E8"/>
    <mergeCell ref="A16:E16"/>
    <mergeCell ref="A31:E31"/>
    <mergeCell ref="A33:E33"/>
    <mergeCell ref="A39:E39"/>
    <mergeCell ref="A40:E40"/>
    <mergeCell ref="A41:E41"/>
    <mergeCell ref="A42:E42"/>
    <mergeCell ref="A43:E43"/>
    <mergeCell ref="A44:E44"/>
    <mergeCell ref="A45:E45"/>
  </mergeCells>
  <pageMargins left="0.7" right="0.7" top="0.75" bottom="0.75" header="0.3" footer="0.3"/>
  <pageSetup paperSize="9" orientation="portrait" horizontalDpi="4294967295" verticalDpi="4294967295" scale="77" fitToWidth="1" fitToHeight="1" firstPageNumber="1" useFirstPageNumber="1" copies="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49"/>
  <sheetViews>
    <sheetView workbookViewId="0" zoomScale="100" zoomScaleNormal="100">
      <selection activeCell="C6" sqref="C6"/>
    </sheetView>
  </sheetViews>
  <sheetFormatPr defaultRowHeight="13.8" outlineLevelRow="0" outlineLevelCol="0" x14ac:dyDescent="0.25" defaultColWidth="11.44140625" customHeight="1"/>
  <cols>
    <col min="1" max="1" width="97.44140625" style="133" customWidth="1"/>
    <col min="2" max="16384" width="11.44140625" style="133" customWidth="1"/>
  </cols>
  <sheetData>
    <row r="6" spans="1:1" x14ac:dyDescent="0.25">
      <c r="A6" s="410" t="s">
        <v>1109</v>
      </c>
    </row>
    <row r="7" spans="1:1" x14ac:dyDescent="0.25">
      <c r="A7" s="549" t="s">
        <v>1110</v>
      </c>
    </row>
    <row r="8" spans="1:1" x14ac:dyDescent="0.25">
      <c r="A8" s="550" t="s">
        <v>1111</v>
      </c>
    </row>
    <row r="9" spans="1:1" x14ac:dyDescent="0.25">
      <c r="A9" s="223" t="s">
        <v>1112</v>
      </c>
    </row>
    <row r="10" spans="1:1" x14ac:dyDescent="0.25">
      <c r="A10" s="223" t="s">
        <v>1113</v>
      </c>
    </row>
    <row r="11" spans="1:1" x14ac:dyDescent="0.25">
      <c r="A11" s="227" t="s">
        <v>1114</v>
      </c>
    </row>
    <row r="12" spans="1:1" x14ac:dyDescent="0.25">
      <c r="A12" s="550" t="s">
        <v>1115</v>
      </c>
    </row>
    <row r="13" spans="1:1" x14ac:dyDescent="0.25">
      <c r="A13" s="223" t="s">
        <v>1116</v>
      </c>
    </row>
    <row r="14" spans="1:1" x14ac:dyDescent="0.25">
      <c r="A14" s="227" t="s">
        <v>1117</v>
      </c>
    </row>
    <row r="15" spans="1:1" x14ac:dyDescent="0.25">
      <c r="A15" s="550" t="s">
        <v>1118</v>
      </c>
    </row>
    <row r="16" spans="1:1" x14ac:dyDescent="0.25">
      <c r="A16" s="223" t="s">
        <v>1119</v>
      </c>
    </row>
    <row r="17" ht="27.6" customHeight="1" spans="1:1" x14ac:dyDescent="0.25">
      <c r="A17" s="245" t="s">
        <v>1120</v>
      </c>
    </row>
    <row r="18" spans="1:1" x14ac:dyDescent="0.25">
      <c r="A18" s="550" t="s">
        <v>1121</v>
      </c>
    </row>
    <row r="19" spans="1:1" x14ac:dyDescent="0.25">
      <c r="A19" s="223" t="s">
        <v>1122</v>
      </c>
    </row>
    <row r="20" spans="1:1" x14ac:dyDescent="0.25">
      <c r="A20" s="227" t="s">
        <v>1123</v>
      </c>
    </row>
    <row r="21" spans="1:1" x14ac:dyDescent="0.25">
      <c r="A21" s="550" t="s">
        <v>1124</v>
      </c>
    </row>
    <row r="22" spans="1:1" x14ac:dyDescent="0.25">
      <c r="A22" s="223" t="s">
        <v>1125</v>
      </c>
    </row>
    <row r="23" spans="1:1" x14ac:dyDescent="0.25">
      <c r="A23" s="227" t="s">
        <v>1126</v>
      </c>
    </row>
    <row r="24" spans="1:1" x14ac:dyDescent="0.25">
      <c r="A24" s="549" t="s">
        <v>1127</v>
      </c>
    </row>
    <row r="25" spans="1:1" x14ac:dyDescent="0.25">
      <c r="A25" s="550" t="s">
        <v>1128</v>
      </c>
    </row>
    <row r="26" ht="27.6" customHeight="1" spans="1:1" x14ac:dyDescent="0.25">
      <c r="A26" s="224" t="s">
        <v>1129</v>
      </c>
    </row>
    <row r="27" spans="1:1" x14ac:dyDescent="0.25">
      <c r="A27" s="223" t="s">
        <v>1130</v>
      </c>
    </row>
    <row r="28" spans="1:1" x14ac:dyDescent="0.25">
      <c r="A28" s="227" t="s">
        <v>1131</v>
      </c>
    </row>
    <row r="29" spans="1:1" x14ac:dyDescent="0.25">
      <c r="A29" s="550" t="s">
        <v>1132</v>
      </c>
    </row>
    <row r="30" ht="27.6" customHeight="1" spans="1:1" x14ac:dyDescent="0.25">
      <c r="A30" s="224" t="s">
        <v>1133</v>
      </c>
    </row>
    <row r="31" spans="1:1" x14ac:dyDescent="0.25">
      <c r="A31" s="223" t="s">
        <v>1134</v>
      </c>
    </row>
    <row r="32" spans="1:1" x14ac:dyDescent="0.25">
      <c r="A32" s="227" t="s">
        <v>1135</v>
      </c>
    </row>
    <row r="33" spans="1:1" x14ac:dyDescent="0.25">
      <c r="A33" s="550" t="s">
        <v>1136</v>
      </c>
    </row>
    <row r="34" spans="1:1" x14ac:dyDescent="0.25">
      <c r="A34" s="223" t="s">
        <v>1137</v>
      </c>
    </row>
    <row r="35" spans="1:1" x14ac:dyDescent="0.25">
      <c r="A35" s="224" t="s">
        <v>1138</v>
      </c>
    </row>
    <row r="36" ht="27.6" customHeight="1" spans="1:1" x14ac:dyDescent="0.25">
      <c r="A36" s="245" t="s">
        <v>1139</v>
      </c>
    </row>
    <row r="37" spans="1:1" x14ac:dyDescent="0.25">
      <c r="A37" s="550" t="s">
        <v>1140</v>
      </c>
    </row>
    <row r="38" spans="1:1" x14ac:dyDescent="0.25">
      <c r="A38" s="227" t="s">
        <v>1141</v>
      </c>
    </row>
    <row r="39" spans="1:1" x14ac:dyDescent="0.25">
      <c r="A39" s="550" t="s">
        <v>1142</v>
      </c>
    </row>
    <row r="40" spans="1:1" x14ac:dyDescent="0.25">
      <c r="A40" s="227" t="s">
        <v>1143</v>
      </c>
    </row>
    <row r="41" ht="27.6" customHeight="1" spans="1:1" x14ac:dyDescent="0.25">
      <c r="A41" s="320" t="s">
        <v>1144</v>
      </c>
    </row>
    <row r="42" spans="1:1" x14ac:dyDescent="0.25">
      <c r="A42" s="550" t="s">
        <v>1145</v>
      </c>
    </row>
    <row r="43" spans="1:1" x14ac:dyDescent="0.25">
      <c r="A43" s="223" t="s">
        <v>1146</v>
      </c>
    </row>
    <row r="44" spans="1:1" x14ac:dyDescent="0.25">
      <c r="A44" s="227" t="s">
        <v>1147</v>
      </c>
    </row>
    <row r="45" ht="27.6" customHeight="1" spans="1:1" x14ac:dyDescent="0.25">
      <c r="A45" s="551" t="s">
        <v>1148</v>
      </c>
    </row>
    <row r="46" spans="1:1" x14ac:dyDescent="0.25">
      <c r="A46" s="223" t="s">
        <v>1149</v>
      </c>
    </row>
    <row r="47" spans="1:1" x14ac:dyDescent="0.25">
      <c r="A47" s="227" t="s">
        <v>1150</v>
      </c>
    </row>
    <row r="48" spans="1:1" x14ac:dyDescent="0.25">
      <c r="A48" s="550" t="s">
        <v>1151</v>
      </c>
    </row>
    <row r="49" spans="1:1" x14ac:dyDescent="0.25">
      <c r="A49" s="227" t="s">
        <v>1152</v>
      </c>
    </row>
  </sheetData>
  <pageMargins left="0.7" right="0.7" top="0.75" bottom="0.75" header="0.3" footer="0.3"/>
  <pageSetup paperSize="9" orientation="portrait" horizontalDpi="4294967295" verticalDpi="4294967295" scale="79" fitToWidth="1" fitToHeight="1" firstPageNumber="1" useFirstPageNumber="1" copies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9"/>
  <sheetViews>
    <sheetView workbookViewId="0" zoomScale="100" zoomScaleNormal="100">
      <selection activeCell="C6" sqref="C6"/>
    </sheetView>
  </sheetViews>
  <sheetFormatPr defaultRowHeight="10.2" outlineLevelRow="0" outlineLevelCol="0" x14ac:dyDescent="0.2" defaultColWidth="11.44140625" customHeight="1"/>
  <cols>
    <col min="1" max="1" width="4.5546875" style="554" customWidth="1"/>
    <col min="2" max="2" width="31" style="555" customWidth="1"/>
    <col min="3" max="3" width="23.109375" style="554" customWidth="1"/>
    <col min="4" max="4" width="27" style="555" customWidth="1"/>
    <col min="5" max="5" width="4.77734375" style="555" customWidth="1"/>
    <col min="6" max="6" width="47.109375" style="556" customWidth="1"/>
    <col min="7" max="7" width="22.109375" style="555" customWidth="1"/>
    <col min="8" max="16384" width="11.44140625" style="555" customWidth="1"/>
  </cols>
  <sheetData>
    <row r="4" ht="13.8" customHeight="1" spans="1:4" x14ac:dyDescent="0.25">
      <c r="A4" s="557"/>
      <c r="B4" s="557"/>
      <c r="C4" s="557"/>
      <c r="D4" s="557"/>
    </row>
    <row r="6" spans="1:7" x14ac:dyDescent="0.25">
      <c r="A6" s="558" t="s">
        <v>1159</v>
      </c>
      <c r="B6" s="558" t="s">
        <v>36</v>
      </c>
      <c r="C6" s="559" t="s">
        <v>1160</v>
      </c>
      <c r="D6" s="560"/>
      <c r="E6" s="558" t="s">
        <v>35</v>
      </c>
      <c r="F6" s="558" t="s">
        <v>40</v>
      </c>
      <c r="G6" s="561" t="s">
        <v>1161</v>
      </c>
    </row>
    <row r="7" ht="40.5" customHeight="1" spans="1:7" x14ac:dyDescent="0.25">
      <c r="A7" s="562"/>
      <c r="B7" s="562"/>
      <c r="C7" s="563" t="s">
        <v>41</v>
      </c>
      <c r="D7" s="563" t="s">
        <v>1162</v>
      </c>
      <c r="E7" s="562"/>
      <c r="F7" s="562"/>
      <c r="G7" s="564"/>
    </row>
    <row r="8" ht="30.6" customHeight="1" spans="1:7" x14ac:dyDescent="0.25">
      <c r="A8" s="565" t="s">
        <v>44</v>
      </c>
      <c r="B8" s="566" t="s">
        <v>1163</v>
      </c>
      <c r="C8" s="567"/>
      <c r="D8" s="567"/>
      <c r="E8" s="568" t="s">
        <v>46</v>
      </c>
      <c r="F8" s="569" t="s">
        <v>1164</v>
      </c>
      <c r="G8" s="568">
        <v>101</v>
      </c>
    </row>
    <row r="9" spans="1:7" x14ac:dyDescent="0.25">
      <c r="A9" s="568" t="s">
        <v>48</v>
      </c>
      <c r="B9" s="570" t="s">
        <v>1165</v>
      </c>
      <c r="C9" s="568">
        <v>201</v>
      </c>
      <c r="D9" s="568">
        <v>280.2901</v>
      </c>
      <c r="E9" s="568" t="s">
        <v>50</v>
      </c>
      <c r="F9" s="569" t="s">
        <v>1166</v>
      </c>
      <c r="G9" s="568">
        <v>102</v>
      </c>
    </row>
    <row r="10" spans="1:7" x14ac:dyDescent="0.25">
      <c r="A10" s="568" t="s">
        <v>52</v>
      </c>
      <c r="B10" s="570" t="s">
        <v>1167</v>
      </c>
      <c r="C10" s="568" t="s">
        <v>1168</v>
      </c>
      <c r="D10" s="568">
        <v>2902</v>
      </c>
      <c r="E10" s="568" t="s">
        <v>54</v>
      </c>
      <c r="F10" s="569" t="s">
        <v>55</v>
      </c>
      <c r="G10" s="568">
        <v>103</v>
      </c>
    </row>
    <row r="11" spans="1:7" x14ac:dyDescent="0.25">
      <c r="A11" s="565" t="s">
        <v>56</v>
      </c>
      <c r="B11" s="571" t="s">
        <v>1169</v>
      </c>
      <c r="C11" s="572"/>
      <c r="D11" s="572"/>
      <c r="E11" s="568" t="s">
        <v>58</v>
      </c>
      <c r="F11" s="569" t="s">
        <v>59</v>
      </c>
      <c r="G11" s="568">
        <v>104</v>
      </c>
    </row>
    <row r="12" spans="1:7" x14ac:dyDescent="0.25">
      <c r="A12" s="568" t="s">
        <v>60</v>
      </c>
      <c r="B12" s="570" t="s">
        <v>1170</v>
      </c>
      <c r="C12" s="568" t="s">
        <v>1171</v>
      </c>
      <c r="D12" s="573" t="s">
        <v>1172</v>
      </c>
      <c r="E12" s="568" t="s">
        <v>62</v>
      </c>
      <c r="F12" s="569" t="s">
        <v>1173</v>
      </c>
      <c r="G12" s="568">
        <v>106</v>
      </c>
    </row>
    <row r="13" spans="1:7" x14ac:dyDescent="0.25">
      <c r="A13" s="568" t="s">
        <v>65</v>
      </c>
      <c r="B13" s="570" t="s">
        <v>1174</v>
      </c>
      <c r="C13" s="568" t="s">
        <v>1175</v>
      </c>
      <c r="D13" s="568" t="s">
        <v>1176</v>
      </c>
      <c r="E13" s="568" t="s">
        <v>67</v>
      </c>
      <c r="F13" s="569" t="s">
        <v>1177</v>
      </c>
      <c r="G13" s="568">
        <v>11</v>
      </c>
    </row>
    <row r="14" ht="20.4" customHeight="1" spans="1:7" x14ac:dyDescent="0.25">
      <c r="A14" s="568" t="s">
        <v>69</v>
      </c>
      <c r="B14" s="574" t="s">
        <v>1178</v>
      </c>
      <c r="C14" s="568">
        <v>251</v>
      </c>
      <c r="D14" s="568">
        <v>2951</v>
      </c>
      <c r="E14" s="568" t="s">
        <v>71</v>
      </c>
      <c r="F14" s="569" t="s">
        <v>1179</v>
      </c>
      <c r="G14" s="568">
        <v>12</v>
      </c>
    </row>
    <row r="15" spans="1:7" x14ac:dyDescent="0.25">
      <c r="A15" s="565" t="s">
        <v>73</v>
      </c>
      <c r="B15" s="571" t="s">
        <v>1180</v>
      </c>
      <c r="C15" s="572"/>
      <c r="D15" s="572"/>
      <c r="E15" s="568" t="s">
        <v>75</v>
      </c>
      <c r="F15" s="569" t="s">
        <v>1181</v>
      </c>
      <c r="G15" s="568" t="s">
        <v>1182</v>
      </c>
    </row>
    <row r="16" spans="1:7" x14ac:dyDescent="0.25">
      <c r="A16" s="568" t="s">
        <v>77</v>
      </c>
      <c r="B16" s="570" t="s">
        <v>78</v>
      </c>
      <c r="C16" s="568">
        <v>22</v>
      </c>
      <c r="D16" s="568" t="s">
        <v>1183</v>
      </c>
      <c r="E16" s="568" t="s">
        <v>79</v>
      </c>
      <c r="F16" s="569" t="s">
        <v>1184</v>
      </c>
      <c r="G16" s="568">
        <v>14</v>
      </c>
    </row>
    <row r="17" spans="1:7" x14ac:dyDescent="0.25">
      <c r="A17" s="568" t="s">
        <v>82</v>
      </c>
      <c r="B17" s="569" t="s">
        <v>83</v>
      </c>
      <c r="C17" s="573" t="s">
        <v>1185</v>
      </c>
      <c r="D17" s="573" t="s">
        <v>1186</v>
      </c>
      <c r="E17" s="568" t="s">
        <v>84</v>
      </c>
      <c r="F17" s="569" t="s">
        <v>1187</v>
      </c>
      <c r="G17" s="568">
        <v>15</v>
      </c>
    </row>
    <row r="18" ht="22.5" customHeight="1" spans="1:7" x14ac:dyDescent="0.25">
      <c r="A18" s="568" t="s">
        <v>86</v>
      </c>
      <c r="B18" s="575" t="s">
        <v>1188</v>
      </c>
      <c r="C18" s="568" t="s">
        <v>1189</v>
      </c>
      <c r="D18" s="573" t="s">
        <v>1190</v>
      </c>
      <c r="E18" s="565" t="s">
        <v>88</v>
      </c>
      <c r="F18" s="576" t="s">
        <v>89</v>
      </c>
      <c r="G18" s="572"/>
    </row>
    <row r="19" spans="1:7" x14ac:dyDescent="0.25">
      <c r="A19" s="568" t="s">
        <v>90</v>
      </c>
      <c r="B19" s="570" t="s">
        <v>1191</v>
      </c>
      <c r="C19" s="568" t="s">
        <v>1192</v>
      </c>
      <c r="D19" s="573" t="s">
        <v>1193</v>
      </c>
      <c r="E19" s="565" t="s">
        <v>92</v>
      </c>
      <c r="F19" s="569" t="s">
        <v>93</v>
      </c>
      <c r="G19" s="568">
        <v>16</v>
      </c>
    </row>
    <row r="20" spans="1:7" x14ac:dyDescent="0.25">
      <c r="A20" s="568" t="s">
        <v>95</v>
      </c>
      <c r="B20" s="570" t="s">
        <v>1194</v>
      </c>
      <c r="C20" s="568">
        <v>245.2945</v>
      </c>
      <c r="D20" s="568" t="s">
        <v>1195</v>
      </c>
      <c r="E20" s="565" t="s">
        <v>97</v>
      </c>
      <c r="F20" s="569" t="s">
        <v>1196</v>
      </c>
      <c r="G20" s="568">
        <v>17</v>
      </c>
    </row>
    <row r="21" ht="20.4" customHeight="1" spans="1:7" x14ac:dyDescent="0.25">
      <c r="A21" s="568" t="s">
        <v>99</v>
      </c>
      <c r="B21" s="574" t="s">
        <v>1197</v>
      </c>
      <c r="C21" s="568">
        <v>252</v>
      </c>
      <c r="D21" s="568">
        <v>2952</v>
      </c>
      <c r="E21" s="565" t="s">
        <v>101</v>
      </c>
      <c r="F21" s="577" t="s">
        <v>102</v>
      </c>
      <c r="G21" s="568"/>
    </row>
    <row r="22" spans="1:7" x14ac:dyDescent="0.25">
      <c r="A22" s="565" t="s">
        <v>103</v>
      </c>
      <c r="B22" s="571" t="s">
        <v>104</v>
      </c>
      <c r="C22" s="572"/>
      <c r="D22" s="572"/>
      <c r="E22" s="565" t="s">
        <v>105</v>
      </c>
      <c r="F22" s="576" t="s">
        <v>106</v>
      </c>
      <c r="G22" s="572"/>
    </row>
    <row r="23" spans="1:7" x14ac:dyDescent="0.25">
      <c r="A23" s="568" t="s">
        <v>107</v>
      </c>
      <c r="B23" s="570" t="s">
        <v>530</v>
      </c>
      <c r="C23" s="568">
        <v>26</v>
      </c>
      <c r="D23" s="568">
        <v>296</v>
      </c>
      <c r="E23" s="568" t="s">
        <v>109</v>
      </c>
      <c r="F23" s="569" t="s">
        <v>110</v>
      </c>
      <c r="G23" s="568" t="s">
        <v>1198</v>
      </c>
    </row>
    <row r="24" spans="1:7" x14ac:dyDescent="0.25">
      <c r="A24" s="568" t="s">
        <v>112</v>
      </c>
      <c r="B24" s="570" t="s">
        <v>113</v>
      </c>
      <c r="C24" s="568">
        <v>27</v>
      </c>
      <c r="D24" s="568">
        <v>297</v>
      </c>
      <c r="E24" s="568" t="s">
        <v>114</v>
      </c>
      <c r="F24" s="569" t="s">
        <v>115</v>
      </c>
      <c r="G24" s="568">
        <v>187</v>
      </c>
    </row>
    <row r="25" spans="1:7" x14ac:dyDescent="0.25">
      <c r="A25" s="568"/>
      <c r="B25" s="570"/>
      <c r="C25" s="568"/>
      <c r="D25" s="568"/>
      <c r="E25" s="568" t="s">
        <v>116</v>
      </c>
      <c r="F25" s="569" t="s">
        <v>117</v>
      </c>
      <c r="G25" s="568">
        <v>19</v>
      </c>
    </row>
    <row r="26" spans="1:7" x14ac:dyDescent="0.25">
      <c r="A26" s="568"/>
      <c r="B26" s="570"/>
      <c r="C26" s="568"/>
      <c r="D26" s="568"/>
      <c r="E26" s="568" t="s">
        <v>118</v>
      </c>
      <c r="F26" s="576" t="s">
        <v>119</v>
      </c>
      <c r="G26" s="572"/>
    </row>
    <row r="27" spans="1:7" x14ac:dyDescent="0.25">
      <c r="A27" s="565" t="s">
        <v>120</v>
      </c>
      <c r="B27" s="578" t="s">
        <v>121</v>
      </c>
      <c r="C27" s="579"/>
      <c r="D27" s="579"/>
      <c r="E27" s="568" t="s">
        <v>122</v>
      </c>
      <c r="F27" s="580" t="s">
        <v>123</v>
      </c>
      <c r="G27" s="579"/>
    </row>
    <row r="28" spans="1:7" x14ac:dyDescent="0.25">
      <c r="A28" s="568" t="s">
        <v>124</v>
      </c>
      <c r="B28" s="570" t="s">
        <v>125</v>
      </c>
      <c r="C28" s="568" t="s">
        <v>1199</v>
      </c>
      <c r="D28" s="568">
        <v>498</v>
      </c>
      <c r="E28" s="568" t="s">
        <v>126</v>
      </c>
      <c r="F28" s="569" t="s">
        <v>627</v>
      </c>
      <c r="G28" s="568" t="s">
        <v>1200</v>
      </c>
    </row>
    <row r="29" spans="1:7" x14ac:dyDescent="0.25">
      <c r="A29" s="568" t="s">
        <v>128</v>
      </c>
      <c r="B29" s="570" t="s">
        <v>129</v>
      </c>
      <c r="C29" s="568" t="s">
        <v>1201</v>
      </c>
      <c r="D29" s="568">
        <v>39</v>
      </c>
      <c r="E29" s="568" t="s">
        <v>130</v>
      </c>
      <c r="F29" s="569" t="s">
        <v>419</v>
      </c>
      <c r="G29" s="568">
        <v>419</v>
      </c>
    </row>
    <row r="30" spans="1:7" x14ac:dyDescent="0.25">
      <c r="A30" s="568" t="s">
        <v>132</v>
      </c>
      <c r="B30" s="570" t="s">
        <v>133</v>
      </c>
      <c r="C30" s="568">
        <v>409</v>
      </c>
      <c r="D30" s="568">
        <v>490</v>
      </c>
      <c r="E30" s="568" t="s">
        <v>134</v>
      </c>
      <c r="F30" s="569" t="s">
        <v>135</v>
      </c>
      <c r="G30" s="568" t="s">
        <v>1202</v>
      </c>
    </row>
    <row r="31" ht="20.4" customHeight="1" spans="1:7" x14ac:dyDescent="0.25">
      <c r="A31" s="568" t="s">
        <v>136</v>
      </c>
      <c r="B31" s="575" t="s">
        <v>1203</v>
      </c>
      <c r="C31" s="568" t="s">
        <v>1204</v>
      </c>
      <c r="D31" s="568">
        <v>491</v>
      </c>
      <c r="E31" s="568" t="s">
        <v>138</v>
      </c>
      <c r="F31" s="569" t="s">
        <v>139</v>
      </c>
      <c r="G31" s="573" t="s">
        <v>1205</v>
      </c>
    </row>
    <row r="32" ht="20.4" customHeight="1" spans="1:7" x14ac:dyDescent="0.25">
      <c r="A32" s="568" t="s">
        <v>141</v>
      </c>
      <c r="B32" s="575" t="s">
        <v>142</v>
      </c>
      <c r="C32" s="573" t="s">
        <v>1206</v>
      </c>
      <c r="D32" s="568" t="s">
        <v>1207</v>
      </c>
      <c r="E32" s="568"/>
      <c r="F32" s="569"/>
      <c r="G32" s="568"/>
    </row>
    <row r="33" spans="1:7" x14ac:dyDescent="0.25">
      <c r="A33" s="565" t="s">
        <v>143</v>
      </c>
      <c r="B33" s="578" t="s">
        <v>144</v>
      </c>
      <c r="C33" s="579"/>
      <c r="D33" s="579"/>
      <c r="E33" s="565" t="s">
        <v>145</v>
      </c>
      <c r="F33" s="580" t="s">
        <v>146</v>
      </c>
      <c r="G33" s="579"/>
    </row>
    <row r="34" spans="1:7" x14ac:dyDescent="0.25">
      <c r="A34" s="568" t="s">
        <v>147</v>
      </c>
      <c r="B34" s="570" t="s">
        <v>341</v>
      </c>
      <c r="C34" s="568">
        <v>50</v>
      </c>
      <c r="D34" s="568">
        <v>590</v>
      </c>
      <c r="E34" s="568" t="s">
        <v>149</v>
      </c>
      <c r="F34" s="569" t="s">
        <v>1208</v>
      </c>
      <c r="G34" s="568" t="s">
        <v>1209</v>
      </c>
    </row>
    <row r="35" spans="1:7" x14ac:dyDescent="0.25">
      <c r="A35" s="568" t="s">
        <v>151</v>
      </c>
      <c r="B35" s="570" t="s">
        <v>1210</v>
      </c>
      <c r="C35" s="568">
        <v>51</v>
      </c>
      <c r="D35" s="568">
        <v>591</v>
      </c>
      <c r="E35" s="568"/>
      <c r="F35" s="569"/>
      <c r="G35" s="568"/>
    </row>
    <row r="36" ht="20.4" customHeight="1" spans="1:7" x14ac:dyDescent="0.25">
      <c r="A36" s="568" t="s">
        <v>153</v>
      </c>
      <c r="B36" s="574" t="s">
        <v>1211</v>
      </c>
      <c r="C36" s="568" t="s">
        <v>1212</v>
      </c>
      <c r="D36" s="568" t="s">
        <v>1213</v>
      </c>
      <c r="E36" s="568"/>
      <c r="F36" s="569"/>
      <c r="G36" s="568"/>
    </row>
    <row r="37" spans="1:7" x14ac:dyDescent="0.25">
      <c r="A37" s="568" t="s">
        <v>155</v>
      </c>
      <c r="B37" s="578" t="s">
        <v>156</v>
      </c>
      <c r="C37" s="579"/>
      <c r="D37" s="579"/>
      <c r="E37" s="565" t="s">
        <v>157</v>
      </c>
      <c r="F37" s="580" t="s">
        <v>156</v>
      </c>
      <c r="G37" s="579"/>
    </row>
    <row r="38" spans="1:7" x14ac:dyDescent="0.25">
      <c r="A38" s="568" t="s">
        <v>159</v>
      </c>
      <c r="B38" s="570" t="s">
        <v>1214</v>
      </c>
      <c r="C38" s="568">
        <v>478</v>
      </c>
      <c r="D38" s="568">
        <v>478</v>
      </c>
      <c r="E38" s="568" t="s">
        <v>161</v>
      </c>
      <c r="F38" s="569" t="s">
        <v>1215</v>
      </c>
      <c r="G38" s="568">
        <v>479</v>
      </c>
    </row>
    <row r="39" spans="1:7" x14ac:dyDescent="0.25">
      <c r="A39" s="565" t="s">
        <v>163</v>
      </c>
      <c r="B39" s="581" t="s">
        <v>164</v>
      </c>
      <c r="C39" s="582"/>
      <c r="D39" s="582"/>
      <c r="E39" s="565" t="s">
        <v>165</v>
      </c>
      <c r="F39" s="583" t="s">
        <v>164</v>
      </c>
      <c r="G39" s="582"/>
    </row>
  </sheetData>
  <mergeCells count="7">
    <mergeCell ref="A4:D4"/>
    <mergeCell ref="C6:D6"/>
    <mergeCell ref="A6:A7"/>
    <mergeCell ref="B6:B7"/>
    <mergeCell ref="E6:E7"/>
    <mergeCell ref="F6:F7"/>
    <mergeCell ref="G6:G7"/>
  </mergeCells>
  <pageMargins left="0.7" right="0.7" top="0.75" bottom="0.75" header="0.3" footer="0.3"/>
  <pageSetup paperSize="9" orientation="portrait" horizontalDpi="4294967295" verticalDpi="4294967295" scale="51" fitToWidth="1" fitToHeight="1" firstPageNumber="1" useFirstPageNumber="1" copies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34"/>
  <sheetViews>
    <sheetView workbookViewId="0" zoomScale="100" zoomScaleNormal="100">
      <selection activeCell="G24" sqref="G24"/>
    </sheetView>
  </sheetViews>
  <sheetFormatPr defaultRowHeight="13.8" outlineLevelRow="0" outlineLevelCol="0" x14ac:dyDescent="0.25" defaultColWidth="11.44140625" customHeight="1"/>
  <cols>
    <col min="1" max="1" width="6" style="133" customWidth="1"/>
    <col min="2" max="2" width="55.5546875" style="439" customWidth="1"/>
    <col min="3" max="3" width="5.44140625" style="133" customWidth="1"/>
    <col min="4" max="4" width="26" style="133" customWidth="1"/>
    <col min="5" max="16384" width="11.44140625" style="133" customWidth="1"/>
  </cols>
  <sheetData>
    <row r="7" ht="62.25" customHeight="1" spans="1:4" x14ac:dyDescent="0.25">
      <c r="A7" s="153" t="s">
        <v>35</v>
      </c>
      <c r="B7" s="153" t="s">
        <v>166</v>
      </c>
      <c r="C7" s="584" t="s">
        <v>1160</v>
      </c>
      <c r="D7" s="585"/>
    </row>
    <row r="8" spans="1:4" x14ac:dyDescent="0.25">
      <c r="A8" s="138" t="s">
        <v>168</v>
      </c>
      <c r="B8" s="139" t="s">
        <v>919</v>
      </c>
      <c r="C8" s="173" t="s">
        <v>1216</v>
      </c>
      <c r="D8" s="139">
        <v>701</v>
      </c>
    </row>
    <row r="9" spans="1:4" x14ac:dyDescent="0.25">
      <c r="A9" s="138" t="s">
        <v>170</v>
      </c>
      <c r="B9" s="139" t="s">
        <v>1217</v>
      </c>
      <c r="C9" s="173" t="s">
        <v>1216</v>
      </c>
      <c r="D9" s="139">
        <v>703</v>
      </c>
    </row>
    <row r="10" spans="1:4" x14ac:dyDescent="0.25">
      <c r="A10" s="138" t="s">
        <v>172</v>
      </c>
      <c r="B10" s="139" t="s">
        <v>1218</v>
      </c>
      <c r="C10" s="173" t="s">
        <v>1219</v>
      </c>
      <c r="D10" s="139">
        <v>704</v>
      </c>
    </row>
    <row r="11" spans="1:4" x14ac:dyDescent="0.25">
      <c r="A11" s="138" t="s">
        <v>174</v>
      </c>
      <c r="B11" s="139" t="s">
        <v>1220</v>
      </c>
      <c r="C11" s="173" t="s">
        <v>1219</v>
      </c>
      <c r="D11" s="139">
        <v>7051</v>
      </c>
    </row>
    <row r="12" spans="1:4" x14ac:dyDescent="0.25">
      <c r="A12" s="138" t="s">
        <v>176</v>
      </c>
      <c r="B12" s="139" t="s">
        <v>177</v>
      </c>
      <c r="C12" s="173" t="s">
        <v>1219</v>
      </c>
      <c r="D12" s="139" t="s">
        <v>1221</v>
      </c>
    </row>
    <row r="13" spans="1:4" x14ac:dyDescent="0.25">
      <c r="A13" s="138" t="s">
        <v>178</v>
      </c>
      <c r="B13" s="139" t="s">
        <v>1222</v>
      </c>
      <c r="C13" s="173" t="s">
        <v>1219</v>
      </c>
      <c r="D13" s="139">
        <v>71</v>
      </c>
    </row>
    <row r="14" ht="27.6" customHeight="1" spans="1:4" x14ac:dyDescent="0.25">
      <c r="A14" s="138" t="s">
        <v>180</v>
      </c>
      <c r="B14" s="139" t="s">
        <v>181</v>
      </c>
      <c r="C14" s="173" t="s">
        <v>1223</v>
      </c>
      <c r="D14" s="142" t="s">
        <v>1224</v>
      </c>
    </row>
    <row r="15" ht="27.6" customHeight="1" spans="1:4" x14ac:dyDescent="0.25">
      <c r="A15" s="138" t="s">
        <v>182</v>
      </c>
      <c r="B15" s="142" t="s">
        <v>1225</v>
      </c>
      <c r="C15" s="173" t="s">
        <v>1219</v>
      </c>
      <c r="D15" s="139">
        <v>79</v>
      </c>
    </row>
    <row r="16" ht="27.6" customHeight="1" spans="1:4" x14ac:dyDescent="0.25">
      <c r="A16" s="138" t="s">
        <v>185</v>
      </c>
      <c r="B16" s="143" t="s">
        <v>1226</v>
      </c>
      <c r="C16" s="586"/>
      <c r="D16" s="587"/>
    </row>
    <row r="17" spans="1:4" x14ac:dyDescent="0.25">
      <c r="A17" s="138" t="s">
        <v>187</v>
      </c>
      <c r="B17" s="139" t="s">
        <v>188</v>
      </c>
      <c r="C17" s="173" t="s">
        <v>1227</v>
      </c>
      <c r="D17" s="139">
        <v>601</v>
      </c>
    </row>
    <row r="18" spans="1:4" x14ac:dyDescent="0.25">
      <c r="A18" s="138" t="s">
        <v>189</v>
      </c>
      <c r="B18" s="142" t="s">
        <v>1228</v>
      </c>
      <c r="C18" s="173" t="s">
        <v>1229</v>
      </c>
      <c r="D18" s="139">
        <v>6031</v>
      </c>
    </row>
    <row r="19" spans="1:4" x14ac:dyDescent="0.25">
      <c r="A19" s="138" t="s">
        <v>1230</v>
      </c>
      <c r="B19" s="139" t="s">
        <v>192</v>
      </c>
      <c r="C19" s="173" t="s">
        <v>1227</v>
      </c>
      <c r="D19" s="139">
        <v>602</v>
      </c>
    </row>
    <row r="20" spans="1:4" x14ac:dyDescent="0.25">
      <c r="A20" s="138" t="s">
        <v>193</v>
      </c>
      <c r="B20" s="139" t="s">
        <v>194</v>
      </c>
      <c r="C20" s="173" t="s">
        <v>1227</v>
      </c>
      <c r="D20" s="139" t="s">
        <v>1231</v>
      </c>
    </row>
    <row r="21" ht="27.6" customHeight="1" spans="1:4" x14ac:dyDescent="0.25">
      <c r="A21" s="138" t="s">
        <v>195</v>
      </c>
      <c r="B21" s="142" t="s">
        <v>1232</v>
      </c>
      <c r="C21" s="173" t="s">
        <v>1233</v>
      </c>
      <c r="D21" s="139" t="s">
        <v>1234</v>
      </c>
    </row>
    <row r="22" spans="1:4" x14ac:dyDescent="0.25">
      <c r="A22" s="138" t="s">
        <v>197</v>
      </c>
      <c r="B22" s="139" t="s">
        <v>198</v>
      </c>
      <c r="C22" s="173" t="s">
        <v>1227</v>
      </c>
      <c r="D22" s="139">
        <v>61</v>
      </c>
    </row>
    <row r="23" spans="1:4" x14ac:dyDescent="0.25">
      <c r="A23" s="138" t="s">
        <v>199</v>
      </c>
      <c r="B23" s="139" t="s">
        <v>200</v>
      </c>
      <c r="C23" s="173" t="s">
        <v>1235</v>
      </c>
      <c r="D23" s="139" t="s">
        <v>1236</v>
      </c>
    </row>
    <row r="24" spans="1:4" x14ac:dyDescent="0.25">
      <c r="A24" s="138" t="s">
        <v>201</v>
      </c>
      <c r="B24" s="139" t="s">
        <v>1237</v>
      </c>
      <c r="C24" s="173" t="s">
        <v>1235</v>
      </c>
      <c r="D24" s="139">
        <v>64</v>
      </c>
    </row>
    <row r="25" spans="1:4" x14ac:dyDescent="0.25">
      <c r="A25" s="138" t="s">
        <v>203</v>
      </c>
      <c r="B25" s="139" t="s">
        <v>1238</v>
      </c>
      <c r="C25" s="173" t="s">
        <v>1235</v>
      </c>
      <c r="D25" s="139">
        <v>65</v>
      </c>
    </row>
    <row r="26" spans="1:4" x14ac:dyDescent="0.25">
      <c r="A26" s="138" t="s">
        <v>205</v>
      </c>
      <c r="B26" s="139" t="s">
        <v>206</v>
      </c>
      <c r="C26" s="173" t="s">
        <v>1235</v>
      </c>
      <c r="D26" s="139">
        <v>66</v>
      </c>
    </row>
    <row r="27" spans="1:4" x14ac:dyDescent="0.25">
      <c r="A27" s="138" t="s">
        <v>207</v>
      </c>
      <c r="B27" s="139" t="s">
        <v>1239</v>
      </c>
      <c r="C27" s="173" t="s">
        <v>1235</v>
      </c>
      <c r="D27" s="139">
        <v>67</v>
      </c>
    </row>
    <row r="28" ht="27.6" customHeight="1" spans="1:4" x14ac:dyDescent="0.25">
      <c r="A28" s="138" t="s">
        <v>209</v>
      </c>
      <c r="B28" s="142" t="s">
        <v>1240</v>
      </c>
      <c r="C28" s="173" t="s">
        <v>1235</v>
      </c>
      <c r="D28" s="139" t="s">
        <v>1241</v>
      </c>
    </row>
    <row r="29" ht="27.6" customHeight="1" spans="1:4" x14ac:dyDescent="0.25">
      <c r="A29" s="138" t="s">
        <v>211</v>
      </c>
      <c r="B29" s="143" t="s">
        <v>1242</v>
      </c>
      <c r="C29" s="586"/>
      <c r="D29" s="587"/>
    </row>
    <row r="30" spans="1:4" x14ac:dyDescent="0.25">
      <c r="A30" s="138" t="s">
        <v>213</v>
      </c>
      <c r="B30" s="146" t="s">
        <v>1243</v>
      </c>
      <c r="C30" s="173"/>
      <c r="D30" s="139"/>
    </row>
    <row r="31" spans="1:4" x14ac:dyDescent="0.25">
      <c r="A31" s="138" t="s">
        <v>215</v>
      </c>
      <c r="B31" s="139" t="s">
        <v>1244</v>
      </c>
      <c r="C31" s="173" t="s">
        <v>1216</v>
      </c>
      <c r="D31" s="139" t="s">
        <v>1245</v>
      </c>
    </row>
    <row r="32" spans="1:4" x14ac:dyDescent="0.25">
      <c r="A32" s="138" t="s">
        <v>217</v>
      </c>
      <c r="B32" s="139" t="s">
        <v>1246</v>
      </c>
      <c r="C32" s="173" t="s">
        <v>1235</v>
      </c>
      <c r="D32" s="139" t="s">
        <v>1247</v>
      </c>
    </row>
    <row r="33" spans="1:4" x14ac:dyDescent="0.25">
      <c r="A33" s="138" t="s">
        <v>1248</v>
      </c>
      <c r="B33" s="146" t="s">
        <v>1249</v>
      </c>
      <c r="C33" s="169"/>
      <c r="D33" s="139"/>
    </row>
    <row r="34" ht="27.6" customHeight="1" spans="1:4" x14ac:dyDescent="0.25">
      <c r="A34" s="138" t="s">
        <v>221</v>
      </c>
      <c r="B34" s="588" t="s">
        <v>1250</v>
      </c>
      <c r="C34" s="589"/>
      <c r="D34" s="590"/>
    </row>
  </sheetData>
  <mergeCells count="1">
    <mergeCell ref="C7:D7"/>
  </mergeCells>
  <pageMargins left="0.7" right="0.7" top="0.75" bottom="0.75" header="0.3" footer="0.3"/>
  <pageSetup paperSize="9" orientation="portrait" horizontalDpi="4294967295" verticalDpi="4294967295" scale="83" fitToWidth="1" fitToHeight="1" firstPageNumber="1" useFirstPageNumber="1" copies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25"/>
  <sheetViews>
    <sheetView workbookViewId="0" zoomScale="100" zoomScaleNormal="100">
      <selection activeCell="A4" sqref="A4"/>
    </sheetView>
  </sheetViews>
  <sheetFormatPr defaultRowHeight="13.8" outlineLevelRow="0" outlineLevelCol="0" x14ac:dyDescent="0.25" defaultColWidth="11.44140625" customHeight="1"/>
  <cols>
    <col min="1" max="1" width="11.44140625" style="133" customWidth="1"/>
    <col min="2" max="2" width="37.109375" style="133" customWidth="1"/>
    <col min="3" max="3" width="15.77734375" style="133" customWidth="1"/>
    <col min="4" max="4" width="16.21875" style="133" customWidth="1"/>
    <col min="5" max="5" width="13.21875" style="133" customWidth="1"/>
    <col min="6" max="6" width="12.109375" style="133" customWidth="1"/>
    <col min="7" max="7" width="11.44140625" style="133" customWidth="1"/>
    <col min="8" max="8" width="10" style="133" customWidth="1"/>
    <col min="9" max="16384" width="11.44140625" style="133" customWidth="1"/>
  </cols>
  <sheetData>
    <row r="8" spans="1:1" x14ac:dyDescent="0.25">
      <c r="A8" s="133" t="s">
        <v>1153</v>
      </c>
    </row>
    <row r="10" ht="27.6" customHeight="1" spans="1:8" x14ac:dyDescent="0.25">
      <c r="A10" s="532" t="s">
        <v>1154</v>
      </c>
      <c r="B10" s="532" t="s">
        <v>225</v>
      </c>
      <c r="C10" s="539" t="s">
        <v>1155</v>
      </c>
      <c r="D10" s="402" t="s">
        <v>227</v>
      </c>
      <c r="E10" s="402" t="s">
        <v>228</v>
      </c>
      <c r="F10" s="402" t="s">
        <v>229</v>
      </c>
      <c r="G10" s="539" t="s">
        <v>1156</v>
      </c>
      <c r="H10" s="539" t="s">
        <v>231</v>
      </c>
    </row>
    <row r="11" spans="1:8" x14ac:dyDescent="0.25">
      <c r="A11" s="535"/>
      <c r="B11" s="535"/>
      <c r="C11" s="402">
        <v>1</v>
      </c>
      <c r="D11" s="402">
        <v>2</v>
      </c>
      <c r="E11" s="402">
        <v>3</v>
      </c>
      <c r="F11" s="402" t="s">
        <v>1157</v>
      </c>
      <c r="G11" s="402" t="s">
        <v>1158</v>
      </c>
      <c r="H11" s="552" t="s">
        <v>234</v>
      </c>
    </row>
    <row r="12" spans="1:8" x14ac:dyDescent="0.25">
      <c r="A12" s="169"/>
      <c r="B12" s="169"/>
      <c r="C12" s="169"/>
      <c r="D12" s="169"/>
      <c r="E12" s="169"/>
      <c r="F12" s="169">
        <f>D12+E12</f>
        <v>0</v>
      </c>
      <c r="G12" s="169">
        <f>C12-F12</f>
        <v>0</v>
      </c>
      <c r="H12" s="169">
        <f>IF(C12=0,0,(F12/C12)*100)</f>
        <v>0</v>
      </c>
    </row>
    <row r="13" spans="1:8" x14ac:dyDescent="0.25">
      <c r="A13" s="169"/>
      <c r="B13" s="169"/>
      <c r="C13" s="169"/>
      <c r="D13" s="169"/>
      <c r="E13" s="169"/>
      <c r="F13" s="169">
        <f t="shared" ref="F13:F25" si="0">D13+E13</f>
        <v>0</v>
      </c>
      <c r="G13" s="169">
        <f t="shared" ref="G13:G25" si="1">C13-F13</f>
        <v>0</v>
      </c>
      <c r="H13" s="169">
        <f t="shared" ref="H13:H25" si="2">IF(C13=0,0,(F13/C13)*100)</f>
        <v>0</v>
      </c>
    </row>
    <row r="14" spans="1:8" x14ac:dyDescent="0.25">
      <c r="A14" s="169"/>
      <c r="B14" s="169"/>
      <c r="C14" s="169"/>
      <c r="D14" s="169"/>
      <c r="E14" s="169"/>
      <c r="F14" s="169">
        <f t="shared" si="0"/>
        <v>0</v>
      </c>
      <c r="G14" s="169">
        <f t="shared" si="1"/>
        <v>0</v>
      </c>
      <c r="H14" s="169">
        <f t="shared" si="2"/>
        <v>0</v>
      </c>
    </row>
    <row r="15" spans="1:8" x14ac:dyDescent="0.25">
      <c r="A15" s="169"/>
      <c r="B15" s="169"/>
      <c r="C15" s="169"/>
      <c r="D15" s="169"/>
      <c r="E15" s="169"/>
      <c r="F15" s="169">
        <f t="shared" si="0"/>
        <v>0</v>
      </c>
      <c r="G15" s="169">
        <f t="shared" si="1"/>
        <v>0</v>
      </c>
      <c r="H15" s="169">
        <f t="shared" si="2"/>
        <v>0</v>
      </c>
    </row>
    <row r="16" spans="1:8" x14ac:dyDescent="0.25">
      <c r="A16" s="169"/>
      <c r="B16" s="169"/>
      <c r="C16" s="169"/>
      <c r="D16" s="169"/>
      <c r="E16" s="169"/>
      <c r="F16" s="169">
        <f t="shared" si="0"/>
        <v>0</v>
      </c>
      <c r="G16" s="169">
        <f t="shared" si="1"/>
        <v>0</v>
      </c>
      <c r="H16" s="169">
        <f t="shared" si="2"/>
        <v>0</v>
      </c>
    </row>
    <row r="17" spans="1:8" x14ac:dyDescent="0.25">
      <c r="A17" s="169"/>
      <c r="B17" s="169"/>
      <c r="C17" s="169"/>
      <c r="D17" s="169"/>
      <c r="E17" s="169"/>
      <c r="F17" s="169">
        <f t="shared" si="0"/>
        <v>0</v>
      </c>
      <c r="G17" s="169">
        <f t="shared" si="1"/>
        <v>0</v>
      </c>
      <c r="H17" s="169">
        <f t="shared" si="2"/>
        <v>0</v>
      </c>
    </row>
    <row r="18" spans="1:8" x14ac:dyDescent="0.25">
      <c r="A18" s="169"/>
      <c r="B18" s="169"/>
      <c r="C18" s="169"/>
      <c r="D18" s="169"/>
      <c r="E18" s="169"/>
      <c r="F18" s="169">
        <f t="shared" si="0"/>
        <v>0</v>
      </c>
      <c r="G18" s="169">
        <f t="shared" si="1"/>
        <v>0</v>
      </c>
      <c r="H18" s="169">
        <f t="shared" si="2"/>
        <v>0</v>
      </c>
    </row>
    <row r="19" spans="1:8" x14ac:dyDescent="0.25">
      <c r="A19" s="169"/>
      <c r="B19" s="169"/>
      <c r="C19" s="169"/>
      <c r="D19" s="169"/>
      <c r="E19" s="169"/>
      <c r="F19" s="169">
        <f t="shared" si="0"/>
        <v>0</v>
      </c>
      <c r="G19" s="169">
        <f t="shared" si="1"/>
        <v>0</v>
      </c>
      <c r="H19" s="169">
        <f t="shared" si="2"/>
        <v>0</v>
      </c>
    </row>
    <row r="20" spans="1:8" x14ac:dyDescent="0.25">
      <c r="A20" s="169"/>
      <c r="B20" s="169"/>
      <c r="C20" s="169"/>
      <c r="D20" s="169"/>
      <c r="E20" s="169"/>
      <c r="F20" s="169">
        <f t="shared" si="0"/>
        <v>0</v>
      </c>
      <c r="G20" s="169">
        <f t="shared" si="1"/>
        <v>0</v>
      </c>
      <c r="H20" s="169">
        <f t="shared" si="2"/>
        <v>0</v>
      </c>
    </row>
    <row r="21" spans="1:8" x14ac:dyDescent="0.25">
      <c r="A21" s="169"/>
      <c r="B21" s="169"/>
      <c r="C21" s="169"/>
      <c r="D21" s="169"/>
      <c r="E21" s="169"/>
      <c r="F21" s="169">
        <f t="shared" si="0"/>
        <v>0</v>
      </c>
      <c r="G21" s="169">
        <f t="shared" si="1"/>
        <v>0</v>
      </c>
      <c r="H21" s="169">
        <f t="shared" si="2"/>
        <v>0</v>
      </c>
    </row>
    <row r="22" spans="1:8" x14ac:dyDescent="0.25">
      <c r="A22" s="169"/>
      <c r="B22" s="169"/>
      <c r="C22" s="169"/>
      <c r="D22" s="169"/>
      <c r="E22" s="169"/>
      <c r="F22" s="169">
        <f t="shared" si="0"/>
        <v>0</v>
      </c>
      <c r="G22" s="169">
        <f t="shared" si="1"/>
        <v>0</v>
      </c>
      <c r="H22" s="169">
        <f t="shared" si="2"/>
        <v>0</v>
      </c>
    </row>
    <row r="23" spans="1:8" x14ac:dyDescent="0.25">
      <c r="A23" s="169"/>
      <c r="B23" s="169"/>
      <c r="C23" s="169"/>
      <c r="D23" s="169"/>
      <c r="E23" s="169"/>
      <c r="F23" s="169">
        <f t="shared" si="0"/>
        <v>0</v>
      </c>
      <c r="G23" s="169">
        <f t="shared" si="1"/>
        <v>0</v>
      </c>
      <c r="H23" s="169">
        <f t="shared" si="2"/>
        <v>0</v>
      </c>
    </row>
    <row r="24" spans="1:8" x14ac:dyDescent="0.25">
      <c r="A24" s="169"/>
      <c r="B24" s="169"/>
      <c r="C24" s="169"/>
      <c r="D24" s="169"/>
      <c r="E24" s="169"/>
      <c r="F24" s="169">
        <f t="shared" si="0"/>
        <v>0</v>
      </c>
      <c r="G24" s="169">
        <f t="shared" si="1"/>
        <v>0</v>
      </c>
      <c r="H24" s="169">
        <f t="shared" si="2"/>
        <v>0</v>
      </c>
    </row>
    <row r="25" spans="1:8" x14ac:dyDescent="0.25">
      <c r="A25" s="192" t="s">
        <v>435</v>
      </c>
      <c r="B25" s="194"/>
      <c r="C25" s="553">
        <f>SUM(C12:C24)</f>
        <v>0</v>
      </c>
      <c r="D25" s="553">
        <f t="shared" ref="D25:E25" si="3">SUM(D12:D24)</f>
        <v>0</v>
      </c>
      <c r="E25" s="553">
        <f t="shared" si="3"/>
        <v>0</v>
      </c>
      <c r="F25" s="553">
        <f t="shared" si="0"/>
        <v>0</v>
      </c>
      <c r="G25" s="553">
        <f t="shared" si="1"/>
        <v>0</v>
      </c>
      <c r="H25" s="553">
        <f t="shared" si="2"/>
        <v>0</v>
      </c>
    </row>
  </sheetData>
  <mergeCells count="3">
    <mergeCell ref="A10:A11"/>
    <mergeCell ref="B10:B11"/>
    <mergeCell ref="A25:B25"/>
  </mergeCells>
  <pageMargins left="0.7" right="0.7" top="0.75" bottom="0.75" header="0.3" footer="0.3"/>
  <pageSetup paperSize="9" orientation="portrait" horizontalDpi="4294967295" verticalDpi="4294967295" scale="58" fitToWidth="1" fitToHeight="1" firstPageNumber="1" useFirstPageNumber="1" copies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 zoomScale="100" zoomScaleNormal="100">
      <selection activeCell="B34" sqref="B34"/>
    </sheetView>
  </sheetViews>
  <sheetFormatPr defaultRowHeight="13.8" outlineLevelRow="0" outlineLevelCol="0" x14ac:dyDescent="0.25" defaultColWidth="11.44140625" customHeight="1"/>
  <cols>
    <col min="1" max="16384" width="11.44140625" style="1" customWidth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3"/>
    </row>
    <row r="4" ht="15" customHeight="1" x14ac:dyDescent="0.25"/>
    <row r="5" spans="1:10" x14ac:dyDescent="0.25">
      <c r="A5" s="4"/>
      <c r="B5" s="5"/>
      <c r="C5" s="5"/>
      <c r="D5" s="5"/>
      <c r="E5" s="5"/>
      <c r="F5" s="5"/>
      <c r="G5" s="5"/>
      <c r="H5" s="5"/>
      <c r="I5" s="5"/>
      <c r="J5" s="6"/>
    </row>
    <row r="6" ht="15.6" customHeight="1" spans="1:10" x14ac:dyDescent="0.25">
      <c r="A6" s="7"/>
      <c r="B6" s="8"/>
      <c r="C6" s="8"/>
      <c r="D6" s="9" t="s">
        <v>0</v>
      </c>
      <c r="E6" s="9"/>
      <c r="F6" s="9"/>
      <c r="G6" s="9"/>
      <c r="H6" s="9"/>
      <c r="J6" s="10"/>
    </row>
    <row r="7" spans="1:10" x14ac:dyDescent="0.25">
      <c r="A7" s="7"/>
      <c r="B7" s="11" t="s">
        <v>1</v>
      </c>
      <c r="C7" s="11"/>
      <c r="D7" s="11"/>
      <c r="E7" s="11"/>
      <c r="F7" s="11"/>
      <c r="G7" s="11"/>
      <c r="H7" s="11"/>
      <c r="I7" s="11"/>
      <c r="J7" s="10"/>
    </row>
    <row r="8" ht="14.4" customHeight="1" spans="1:10" x14ac:dyDescent="0.25">
      <c r="A8" s="7"/>
      <c r="B8" s="11"/>
      <c r="C8" s="11"/>
      <c r="D8" s="11"/>
      <c r="E8" s="11"/>
      <c r="F8" s="11"/>
      <c r="J8" s="10"/>
    </row>
    <row r="9" ht="14.4" customHeight="1" spans="1:10" x14ac:dyDescent="0.25">
      <c r="A9" s="12"/>
      <c r="B9" s="13"/>
      <c r="C9" s="13"/>
      <c r="D9" s="14" t="s">
        <v>2</v>
      </c>
      <c r="E9" s="14"/>
      <c r="F9" s="14"/>
      <c r="G9" s="14"/>
      <c r="H9" s="14"/>
      <c r="J9" s="10"/>
    </row>
    <row r="10" ht="14.4" customHeight="1" spans="1:10" x14ac:dyDescent="0.25">
      <c r="A10" s="12"/>
      <c r="J10" s="10"/>
    </row>
    <row r="11" ht="14.4" customHeight="1" spans="1:10" x14ac:dyDescent="0.25">
      <c r="A11" s="12"/>
      <c r="D11" s="1" t="s">
        <v>3</v>
      </c>
      <c r="J11" s="15"/>
    </row>
    <row r="12" spans="1:10" x14ac:dyDescent="0.25">
      <c r="A12" s="7" t="s">
        <v>4</v>
      </c>
      <c r="B12" s="16" t="s">
        <v>5</v>
      </c>
      <c r="C12" s="16"/>
      <c r="D12" s="16"/>
      <c r="E12" s="16"/>
      <c r="F12" s="16"/>
      <c r="G12" s="16"/>
      <c r="H12" s="16"/>
      <c r="I12" s="16"/>
      <c r="J12" s="17"/>
    </row>
    <row r="13" ht="14.4" customHeight="1" spans="1:10" x14ac:dyDescent="0.25">
      <c r="A13" s="12"/>
      <c r="D13" s="18"/>
      <c r="E13" s="18"/>
      <c r="F13" s="18"/>
      <c r="G13" s="18"/>
      <c r="H13" s="18"/>
      <c r="J13" s="15"/>
    </row>
    <row r="14" ht="14.4" customHeight="1" spans="1:10" x14ac:dyDescent="0.25">
      <c r="A14" s="12"/>
      <c r="D14" s="19"/>
      <c r="E14" s="19"/>
      <c r="F14" s="19"/>
      <c r="G14" s="19"/>
      <c r="H14" s="19"/>
      <c r="J14" s="10"/>
    </row>
    <row r="15" ht="14.4" customHeight="1" spans="1:10" x14ac:dyDescent="0.25">
      <c r="A15" s="12"/>
      <c r="J15" s="15"/>
    </row>
    <row r="16" ht="14.4" customHeight="1" spans="1:10" x14ac:dyDescent="0.25">
      <c r="A16" s="12"/>
      <c r="C16" s="20" t="s">
        <v>6</v>
      </c>
      <c r="D16" s="20"/>
      <c r="E16" s="20"/>
      <c r="F16" s="20"/>
      <c r="G16" s="20"/>
      <c r="H16" s="20"/>
      <c r="I16" s="20"/>
      <c r="J16" s="10"/>
    </row>
    <row r="17" ht="14.4" customHeight="1" spans="1:10" x14ac:dyDescent="0.25">
      <c r="A17" s="12"/>
      <c r="C17" s="21" t="s">
        <v>7</v>
      </c>
      <c r="D17" s="21"/>
      <c r="E17" s="21"/>
      <c r="F17" s="21"/>
      <c r="G17" s="21"/>
      <c r="H17" s="21"/>
      <c r="I17" s="21"/>
      <c r="J17" s="10"/>
    </row>
    <row r="18" ht="25.2" customHeight="1" spans="1:10" x14ac:dyDescent="0.25">
      <c r="A18" s="12"/>
      <c r="D18" s="22"/>
      <c r="E18" s="22"/>
      <c r="F18" s="22"/>
      <c r="G18" s="22"/>
      <c r="H18" s="22"/>
      <c r="J18" s="10"/>
    </row>
    <row r="19" ht="14.4" customHeight="1" spans="1:10" x14ac:dyDescent="0.25">
      <c r="A19" s="12"/>
      <c r="C19" s="23"/>
      <c r="D19" s="23"/>
      <c r="E19" s="23"/>
      <c r="H19" s="23"/>
      <c r="I19" s="23"/>
      <c r="J19" s="15"/>
    </row>
    <row r="20" ht="14.4" customHeight="1" spans="1:10" x14ac:dyDescent="0.25">
      <c r="A20" s="12"/>
      <c r="C20" s="18"/>
      <c r="D20" s="24" t="s">
        <v>8</v>
      </c>
      <c r="E20" s="2"/>
      <c r="F20" s="2"/>
      <c r="G20" s="25">
        <f>_ExerClos</f>
        <v>NaN</v>
      </c>
      <c r="H20" s="25"/>
      <c r="J20" s="10"/>
    </row>
    <row r="21" spans="1:10" x14ac:dyDescent="0.25">
      <c r="A21" s="12"/>
      <c r="B21" s="23"/>
      <c r="C21" s="23"/>
      <c r="D21" s="23"/>
      <c r="E21" s="26"/>
      <c r="F21" s="26"/>
      <c r="G21" s="26"/>
      <c r="H21" s="23"/>
      <c r="I21" s="23"/>
      <c r="J21" s="15"/>
    </row>
    <row r="22" ht="14.4" customHeight="1" spans="1:10" x14ac:dyDescent="0.25">
      <c r="A22" s="12"/>
      <c r="J22" s="10"/>
    </row>
    <row r="23" ht="14.4" customHeight="1" spans="1:10" x14ac:dyDescent="0.25">
      <c r="A23" s="12"/>
      <c r="D23" s="2" t="s">
        <v>9</v>
      </c>
      <c r="E23" s="2"/>
      <c r="F23" s="2"/>
      <c r="G23" s="2"/>
      <c r="H23" s="2"/>
      <c r="J23" s="10"/>
    </row>
    <row r="24" ht="14.4" customHeight="1" spans="1:10" x14ac:dyDescent="0.25">
      <c r="A24" s="12"/>
      <c r="C24" s="23"/>
      <c r="D24" s="23"/>
      <c r="E24" s="23"/>
      <c r="I24" s="27"/>
      <c r="J24" s="15"/>
    </row>
    <row r="25" spans="1:10" x14ac:dyDescent="0.25">
      <c r="A25" s="7" t="s">
        <v>10</v>
      </c>
      <c r="B25" s="28" t="s">
        <v>11</v>
      </c>
      <c r="C25" s="28"/>
      <c r="D25" s="28"/>
      <c r="E25" s="29" t="str">
        <f>_soNom</f>
        <v>B E N I N  T A L E N T  P O O L</v>
      </c>
      <c r="F25" s="29"/>
      <c r="G25" s="29"/>
      <c r="H25" s="29"/>
      <c r="I25" s="29"/>
      <c r="J25" s="30"/>
    </row>
    <row r="26" spans="1:10" x14ac:dyDescent="0.25">
      <c r="A26" s="31" t="s">
        <v>12</v>
      </c>
      <c r="B26" s="32"/>
      <c r="C26" s="32"/>
      <c r="D26" s="32"/>
      <c r="E26" s="32"/>
      <c r="F26" s="32"/>
      <c r="G26" s="32"/>
      <c r="H26" s="32"/>
      <c r="I26" s="32"/>
      <c r="J26" s="33"/>
    </row>
    <row r="27" spans="1:10" x14ac:dyDescent="0.25">
      <c r="A27" s="12"/>
      <c r="B27" s="34"/>
      <c r="C27" s="23"/>
      <c r="D27" s="23"/>
      <c r="E27" s="23"/>
      <c r="F27" s="23"/>
      <c r="G27" s="23"/>
      <c r="H27" s="23"/>
      <c r="I27" s="23"/>
      <c r="J27" s="15"/>
    </row>
    <row r="28" spans="1:10" x14ac:dyDescent="0.25">
      <c r="A28" s="35" t="s">
        <v>13</v>
      </c>
      <c r="B28" s="36"/>
      <c r="C28" s="36"/>
      <c r="D28" s="36"/>
      <c r="E28" s="36"/>
      <c r="F28" s="36"/>
      <c r="G28" s="36"/>
      <c r="H28" s="36"/>
      <c r="I28" s="36"/>
      <c r="J28" s="37"/>
    </row>
    <row r="29" spans="1:10" x14ac:dyDescent="0.25">
      <c r="A29" s="35"/>
      <c r="B29" s="18"/>
      <c r="C29" s="18"/>
      <c r="D29" s="18"/>
      <c r="E29" s="18"/>
      <c r="F29" s="18"/>
      <c r="G29" s="18"/>
      <c r="H29" s="18"/>
      <c r="I29" s="18"/>
      <c r="J29" s="38"/>
    </row>
    <row r="30" spans="1:10" x14ac:dyDescent="0.25">
      <c r="A30" s="39" t="s">
        <v>5</v>
      </c>
      <c r="B30" s="40" t="s">
        <v>14</v>
      </c>
      <c r="C30" s="29"/>
      <c r="D30" s="29" t="s">
        <v>15</v>
      </c>
      <c r="E30" s="29"/>
      <c r="F30" s="41"/>
      <c r="G30" s="41"/>
      <c r="H30" s="41"/>
      <c r="I30" s="41"/>
      <c r="J30" s="42"/>
    </row>
    <row r="31" spans="1:10" x14ac:dyDescent="0.25">
      <c r="A31" s="12"/>
      <c r="B31" s="23"/>
      <c r="C31" s="23"/>
      <c r="D31" s="23"/>
      <c r="E31" s="23"/>
      <c r="F31" s="23"/>
      <c r="G31" s="23"/>
      <c r="H31" s="23"/>
      <c r="I31" s="23"/>
      <c r="J31" s="15"/>
    </row>
    <row r="32" spans="1:10" x14ac:dyDescent="0.25">
      <c r="A32" s="12"/>
      <c r="B32" s="43" t="s">
        <v>16</v>
      </c>
      <c r="C32" s="44"/>
      <c r="D32" s="44" t="s">
        <v>17</v>
      </c>
      <c r="E32" s="28" t="s">
        <v>18</v>
      </c>
      <c r="F32" s="28"/>
      <c r="G32" s="28"/>
      <c r="H32" s="28"/>
      <c r="I32" s="28"/>
      <c r="J32" s="45"/>
    </row>
    <row r="33" ht="14.4" customHeight="1" spans="1:10" x14ac:dyDescent="0.25">
      <c r="A33" s="12"/>
      <c r="D33" s="23"/>
      <c r="E33" s="46"/>
      <c r="F33" s="8"/>
      <c r="G33" s="8"/>
      <c r="H33" s="8"/>
      <c r="I33" s="8"/>
      <c r="J33" s="47"/>
    </row>
    <row r="34" ht="17.4" customHeight="1" spans="1:10" x14ac:dyDescent="0.25">
      <c r="A34" s="12"/>
      <c r="B34" s="40" t="s">
        <v>19</v>
      </c>
      <c r="C34" s="40"/>
      <c r="D34" s="40"/>
      <c r="E34" s="40"/>
      <c r="F34" s="40"/>
      <c r="G34" s="40"/>
      <c r="H34" s="40"/>
      <c r="I34" s="40"/>
      <c r="J34" s="48"/>
    </row>
    <row r="35" spans="1:10" x14ac:dyDescent="0.25">
      <c r="A35" s="12"/>
      <c r="B35" s="23"/>
      <c r="C35" s="23"/>
      <c r="D35" s="23"/>
      <c r="E35" s="23"/>
      <c r="F35" s="23"/>
      <c r="G35" s="23"/>
      <c r="H35" s="23"/>
      <c r="I35" s="23"/>
      <c r="J35" s="15"/>
    </row>
    <row r="36" ht="14.4" customHeight="1" spans="1:10" x14ac:dyDescent="0.25">
      <c r="A36" s="12"/>
      <c r="J36" s="10"/>
    </row>
    <row r="37" ht="14.4" customHeight="1" spans="1:10" x14ac:dyDescent="0.25">
      <c r="A37" s="12"/>
      <c r="C37" s="49" t="s">
        <v>20</v>
      </c>
      <c r="D37" s="49"/>
      <c r="E37" s="49"/>
      <c r="F37" s="49"/>
      <c r="G37" s="49"/>
      <c r="H37" s="49"/>
      <c r="I37" s="49"/>
      <c r="J37" s="50"/>
    </row>
    <row r="38" spans="1:10" x14ac:dyDescent="0.25">
      <c r="A38" s="12"/>
      <c r="B38" s="23"/>
      <c r="C38" s="23"/>
      <c r="D38" s="23"/>
      <c r="E38" s="23"/>
      <c r="F38" s="23"/>
      <c r="G38" s="23"/>
      <c r="H38" s="23"/>
      <c r="I38" s="23"/>
      <c r="J38" s="15"/>
    </row>
    <row r="39" spans="1:10" x14ac:dyDescent="0.25">
      <c r="A39" s="12"/>
      <c r="B39" s="23"/>
      <c r="C39" s="23"/>
      <c r="D39" s="23"/>
      <c r="E39" s="23"/>
      <c r="F39" s="23"/>
      <c r="G39" s="23"/>
      <c r="H39" s="23"/>
      <c r="I39" s="23"/>
      <c r="J39" s="15"/>
    </row>
    <row r="40" spans="1:10" x14ac:dyDescent="0.25">
      <c r="A40" s="12"/>
      <c r="B40" s="2" t="s">
        <v>21</v>
      </c>
      <c r="C40" s="2"/>
      <c r="D40" s="2"/>
      <c r="E40" s="2"/>
      <c r="F40" s="23"/>
      <c r="G40" s="2" t="s">
        <v>22</v>
      </c>
      <c r="H40" s="2"/>
      <c r="I40" s="2"/>
      <c r="J40" s="51"/>
    </row>
    <row r="41" spans="1:10" x14ac:dyDescent="0.25">
      <c r="A41" s="12"/>
      <c r="B41" s="52"/>
      <c r="C41" s="53"/>
      <c r="D41" s="53"/>
      <c r="E41" s="54"/>
      <c r="F41" s="23"/>
      <c r="G41" s="55" t="s">
        <v>23</v>
      </c>
      <c r="H41" s="56"/>
      <c r="I41" s="56"/>
      <c r="J41" s="57"/>
    </row>
    <row r="42" spans="1:10" x14ac:dyDescent="0.25">
      <c r="A42" s="12"/>
      <c r="B42" s="58" t="s">
        <v>24</v>
      </c>
      <c r="C42" s="59"/>
      <c r="D42" s="59"/>
      <c r="E42" s="60" t="s">
        <v>25</v>
      </c>
      <c r="F42" s="23"/>
      <c r="G42" s="61"/>
      <c r="H42" s="62"/>
      <c r="I42" s="62"/>
      <c r="J42" s="63"/>
    </row>
    <row r="43" spans="1:10" x14ac:dyDescent="0.25">
      <c r="A43" s="12"/>
      <c r="B43" s="64" t="s">
        <v>26</v>
      </c>
      <c r="C43" s="65"/>
      <c r="D43" s="66" t="s">
        <v>27</v>
      </c>
      <c r="E43" s="60" t="s">
        <v>25</v>
      </c>
      <c r="F43" s="23"/>
      <c r="G43" s="55"/>
      <c r="H43" s="56"/>
      <c r="I43" s="56"/>
      <c r="J43" s="57"/>
    </row>
    <row r="44" spans="1:10" x14ac:dyDescent="0.25">
      <c r="A44" s="12"/>
      <c r="B44" s="64" t="s">
        <v>28</v>
      </c>
      <c r="C44" s="65"/>
      <c r="D44" s="66" t="s">
        <v>27</v>
      </c>
      <c r="E44" s="60" t="s">
        <v>25</v>
      </c>
      <c r="F44" s="23"/>
      <c r="G44" s="61"/>
      <c r="H44" s="62"/>
      <c r="I44" s="62"/>
      <c r="J44" s="63"/>
    </row>
    <row r="45" spans="1:10" x14ac:dyDescent="0.25">
      <c r="A45" s="12"/>
      <c r="B45" s="58" t="s">
        <v>29</v>
      </c>
      <c r="C45" s="59"/>
      <c r="D45" s="59"/>
      <c r="E45" s="60" t="s">
        <v>25</v>
      </c>
      <c r="F45" s="23"/>
      <c r="G45" s="67" t="s">
        <v>30</v>
      </c>
      <c r="H45" s="68"/>
      <c r="I45" s="68"/>
      <c r="J45" s="69"/>
    </row>
    <row r="46" spans="1:10" x14ac:dyDescent="0.25">
      <c r="A46" s="12"/>
      <c r="B46" s="58" t="s">
        <v>31</v>
      </c>
      <c r="C46" s="59"/>
      <c r="D46" s="59"/>
      <c r="E46" s="60" t="s">
        <v>25</v>
      </c>
      <c r="F46" s="23"/>
      <c r="G46" s="70"/>
      <c r="H46" s="71"/>
      <c r="I46" s="71"/>
      <c r="J46" s="72"/>
    </row>
    <row r="47" spans="1:10" x14ac:dyDescent="0.25">
      <c r="A47" s="12"/>
      <c r="B47" s="73"/>
      <c r="C47" s="74"/>
      <c r="D47" s="75" t="s">
        <v>27</v>
      </c>
      <c r="E47" s="76"/>
      <c r="F47" s="23"/>
      <c r="G47" s="77"/>
      <c r="H47" s="78" t="s">
        <v>27</v>
      </c>
      <c r="I47" s="44"/>
      <c r="J47" s="79"/>
    </row>
    <row r="48" ht="14.4" customHeight="1" spans="1:10" x14ac:dyDescent="0.25">
      <c r="A48" s="12"/>
      <c r="B48" s="80" t="s">
        <v>32</v>
      </c>
      <c r="C48" s="81"/>
      <c r="D48" s="81"/>
      <c r="E48" s="82"/>
      <c r="G48" s="83" t="s">
        <v>33</v>
      </c>
      <c r="H48" s="84"/>
      <c r="I48" s="84"/>
      <c r="J48" s="85"/>
    </row>
    <row r="49" ht="14.4" customHeight="1" spans="1:10" x14ac:dyDescent="0.25">
      <c r="A49" s="12"/>
      <c r="B49" s="86" t="s">
        <v>34</v>
      </c>
      <c r="C49" s="87"/>
      <c r="D49" s="87"/>
      <c r="E49" s="88"/>
      <c r="G49" s="89"/>
      <c r="H49" s="90" t="s">
        <v>27</v>
      </c>
      <c r="I49" s="91"/>
      <c r="J49" s="92"/>
    </row>
    <row r="50" spans="1:10" x14ac:dyDescent="0.25">
      <c r="A50" s="12"/>
      <c r="B50" s="77"/>
      <c r="C50" s="44"/>
      <c r="D50" s="44"/>
      <c r="E50" s="93"/>
      <c r="F50" s="23"/>
      <c r="G50" s="77"/>
      <c r="H50" s="44"/>
      <c r="I50" s="44"/>
      <c r="J50" s="79"/>
    </row>
    <row r="51" ht="14.4" customHeight="1" spans="1:10" x14ac:dyDescent="0.25">
      <c r="A51" s="94"/>
      <c r="B51" s="95"/>
      <c r="C51" s="95"/>
      <c r="D51" s="95"/>
      <c r="E51" s="95"/>
      <c r="F51" s="95"/>
      <c r="G51" s="95"/>
      <c r="H51" s="95"/>
      <c r="I51" s="95"/>
      <c r="J51" s="96"/>
    </row>
  </sheetData>
  <mergeCells count="24">
    <mergeCell ref="A1:I1"/>
    <mergeCell ref="D6:H6"/>
    <mergeCell ref="B7:I7"/>
    <mergeCell ref="D9:H9"/>
    <mergeCell ref="D13:H13"/>
    <mergeCell ref="C16:I16"/>
    <mergeCell ref="C17:I17"/>
    <mergeCell ref="D18:H18"/>
    <mergeCell ref="D23:H23"/>
    <mergeCell ref="E25:J25"/>
    <mergeCell ref="A26:J26"/>
    <mergeCell ref="B28:J28"/>
    <mergeCell ref="E33:J33"/>
    <mergeCell ref="B34:J34"/>
    <mergeCell ref="B40:E40"/>
    <mergeCell ref="G40:J40"/>
    <mergeCell ref="G41:J42"/>
    <mergeCell ref="B42:D42"/>
    <mergeCell ref="G43:J44"/>
    <mergeCell ref="B45:D45"/>
    <mergeCell ref="G45:J45"/>
    <mergeCell ref="B48:D48"/>
    <mergeCell ref="G48:J48"/>
    <mergeCell ref="B49:D4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13"/>
  <sheetViews>
    <sheetView workbookViewId="0" zoomScale="100" zoomScaleNormal="100">
      <selection activeCell="G17" sqref="G17"/>
    </sheetView>
  </sheetViews>
  <sheetFormatPr defaultRowHeight="13.8" outlineLevelRow="0" outlineLevelCol="0" x14ac:dyDescent="0.25" defaultColWidth="11.44140625" customHeight="1"/>
  <cols>
    <col min="1" max="1" width="5.88671875" style="133" customWidth="1"/>
    <col min="2" max="2" width="41.44140625" style="133" customWidth="1"/>
    <col min="3" max="3" width="12.88671875" style="133" customWidth="1"/>
    <col min="4" max="4" width="15.77734375" style="133" customWidth="1"/>
    <col min="5" max="5" width="15" style="133" customWidth="1"/>
    <col min="6" max="6" width="13.5546875" style="133" customWidth="1"/>
    <col min="7" max="7" width="15.5546875" style="133" customWidth="1"/>
    <col min="8" max="8" width="15.109375" style="133" customWidth="1"/>
    <col min="9" max="16384" width="11.44140625" style="133" customWidth="1"/>
  </cols>
  <sheetData>
    <row r="6" spans="1:1" x14ac:dyDescent="0.25">
      <c r="A6" s="133" t="s">
        <v>223</v>
      </c>
    </row>
    <row r="7" ht="33" customHeight="1" spans="1:8" x14ac:dyDescent="0.25">
      <c r="A7" s="151" t="s">
        <v>224</v>
      </c>
      <c r="B7" s="151" t="s">
        <v>225</v>
      </c>
      <c r="C7" s="152" t="s">
        <v>226</v>
      </c>
      <c r="D7" s="153" t="s">
        <v>227</v>
      </c>
      <c r="E7" s="153" t="s">
        <v>228</v>
      </c>
      <c r="F7" s="153" t="s">
        <v>229</v>
      </c>
      <c r="G7" s="152" t="s">
        <v>230</v>
      </c>
      <c r="H7" s="152" t="s">
        <v>231</v>
      </c>
    </row>
    <row r="8" spans="1:8" x14ac:dyDescent="0.25">
      <c r="A8" s="154"/>
      <c r="B8" s="154"/>
      <c r="C8" s="155">
        <v>1</v>
      </c>
      <c r="D8" s="155">
        <v>2</v>
      </c>
      <c r="E8" s="155">
        <v>3</v>
      </c>
      <c r="F8" s="155" t="s">
        <v>232</v>
      </c>
      <c r="G8" s="155" t="s">
        <v>233</v>
      </c>
      <c r="H8" s="156" t="s">
        <v>234</v>
      </c>
    </row>
    <row r="9" spans="1:8" x14ac:dyDescent="0.25">
      <c r="A9" s="157">
        <v>1</v>
      </c>
      <c r="B9" s="157" t="s">
        <v>235</v>
      </c>
      <c r="C9" s="157">
        <v>199781925</v>
      </c>
      <c r="D9" s="157">
        <v>101876987</v>
      </c>
      <c r="E9" s="157"/>
      <c r="F9" s="157">
        <f>D9+E9</f>
        <v>101876987</v>
      </c>
      <c r="G9" s="157">
        <f>C9-F9</f>
        <v>97904938</v>
      </c>
      <c r="H9" s="157">
        <f>IF(C9=0,0,(F9/C9)*100)</f>
        <v>50.99409618763059</v>
      </c>
    </row>
    <row r="10" spans="1:8" x14ac:dyDescent="0.25">
      <c r="A10" s="158">
        <v>2</v>
      </c>
      <c r="B10" s="158" t="s">
        <v>236</v>
      </c>
      <c r="C10" s="158">
        <v>5400000</v>
      </c>
      <c r="D10" s="158">
        <v>5400000</v>
      </c>
      <c r="E10" s="157"/>
      <c r="F10" s="157">
        <f t="shared" ref="F10:F13" si="0">D10+E10</f>
        <v>5400000</v>
      </c>
      <c r="G10" s="157">
        <f t="shared" ref="G10:G13" si="1">C10-F10</f>
        <v>0</v>
      </c>
      <c r="H10" s="157">
        <f t="shared" ref="H10:H13" si="2">IF(C10=0,0,(F10/C10)*100)</f>
        <v>100</v>
      </c>
    </row>
    <row r="11" spans="1:8" x14ac:dyDescent="0.25">
      <c r="A11" s="158">
        <v>3</v>
      </c>
      <c r="B11" s="158" t="s">
        <v>237</v>
      </c>
      <c r="C11" s="158">
        <v>1296000</v>
      </c>
      <c r="D11" s="158">
        <v>1296000</v>
      </c>
      <c r="E11" s="157"/>
      <c r="F11" s="157">
        <f t="shared" si="0"/>
        <v>1296000</v>
      </c>
      <c r="G11" s="157">
        <f t="shared" si="1"/>
        <v>0</v>
      </c>
      <c r="H11" s="157">
        <f t="shared" si="2"/>
        <v>100</v>
      </c>
    </row>
    <row r="12" spans="1:8" x14ac:dyDescent="0.25">
      <c r="A12" s="158">
        <v>4</v>
      </c>
      <c r="B12" s="158" t="s">
        <v>238</v>
      </c>
      <c r="C12" s="158">
        <v>500000</v>
      </c>
      <c r="D12" s="158">
        <v>500000</v>
      </c>
      <c r="E12" s="157"/>
      <c r="F12" s="157">
        <f t="shared" si="0"/>
        <v>500000</v>
      </c>
      <c r="G12" s="157">
        <f t="shared" si="1"/>
        <v>0</v>
      </c>
      <c r="H12" s="157">
        <f t="shared" si="2"/>
        <v>100</v>
      </c>
    </row>
    <row r="13" spans="1:8" x14ac:dyDescent="0.25">
      <c r="A13" s="158"/>
      <c r="B13" s="158"/>
      <c r="C13" s="158"/>
      <c r="D13" s="158"/>
      <c r="E13" s="157"/>
      <c r="F13" s="157">
        <f t="shared" si="0"/>
        <v>0</v>
      </c>
      <c r="G13" s="157">
        <f t="shared" si="1"/>
        <v>0</v>
      </c>
      <c r="H13" s="157">
        <f t="shared" si="2"/>
        <v>0</v>
      </c>
    </row>
  </sheetData>
  <mergeCells count="2">
    <mergeCell ref="A7:A8"/>
    <mergeCell ref="B7:B8"/>
  </mergeCells>
  <pageMargins left="0.7" right="0.7" top="0.75" bottom="0.75" header="0.3" footer="0.3"/>
  <pageSetup paperSize="9" orientation="portrait" horizontalDpi="4294967295" verticalDpi="4294967295" scale="5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PAGE DE GARDE</vt:lpstr>
      <vt:lpstr>BILAN</vt:lpstr>
      <vt:lpstr>COMPTE_DE_RESULTAT</vt:lpstr>
      <vt:lpstr>EXECUTION BUDGETAIRE</vt:lpstr>
      <vt:lpstr>TFT</vt:lpstr>
      <vt:lpstr>NOTES </vt:lpstr>
      <vt:lpstr>NOTE 1</vt:lpstr>
      <vt:lpstr>NOTE 2</vt:lpstr>
      <vt:lpstr>NOTE 3</vt:lpstr>
      <vt:lpstr>NOTE 4 </vt:lpstr>
      <vt:lpstr>NOTE 5A</vt:lpstr>
      <vt:lpstr>NOTE 5B</vt:lpstr>
      <vt:lpstr>NOTE 5C</vt:lpstr>
      <vt:lpstr>NOTE 5D</vt:lpstr>
      <vt:lpstr>NOTE 5E</vt:lpstr>
      <vt:lpstr>NOTE 5F</vt:lpstr>
      <vt:lpstr>NOTE 5G</vt:lpstr>
      <vt:lpstr>NOTE 5H</vt:lpstr>
      <vt:lpstr>NOTE 6</vt:lpstr>
      <vt:lpstr>NOTE 7</vt:lpstr>
      <vt:lpstr>NOTE 8</vt:lpstr>
      <vt:lpstr>NOTE 9</vt:lpstr>
      <vt:lpstr>NOTE 10</vt:lpstr>
      <vt:lpstr>NOTE 11</vt:lpstr>
      <vt:lpstr>NOTE 12</vt:lpstr>
      <vt:lpstr>NOTE 13</vt:lpstr>
      <vt:lpstr>NOTE 14</vt:lpstr>
      <vt:lpstr>NOTE 15</vt:lpstr>
      <vt:lpstr>NOTE 16</vt:lpstr>
      <vt:lpstr>NOTE 17A</vt:lpstr>
      <vt:lpstr>NOTE 17B</vt:lpstr>
      <vt:lpstr>NOTE 18A</vt:lpstr>
      <vt:lpstr>NOTE 18B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</vt:lpstr>
      <vt:lpstr>NOTE 28</vt:lpstr>
      <vt:lpstr>NOTE 29A</vt:lpstr>
      <vt:lpstr>NOTE 29B</vt:lpstr>
      <vt:lpstr>NOTE 30</vt:lpstr>
      <vt:lpstr>NOTE 31</vt:lpstr>
      <vt:lpstr>NOTE 32</vt:lpstr>
      <vt:lpstr>NOTE 33</vt:lpstr>
      <vt:lpstr>NOTE 34</vt:lpstr>
      <vt:lpstr>NOTE 35</vt:lpstr>
      <vt:lpstr>CORRESPONDANCE-BILAN</vt:lpstr>
      <vt:lpstr>CORRESPONDANCE-RESULTAT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BCG</dc:creator>
  <cp:lastModifiedBy>ADMIN</cp:lastModifiedBy>
  <cp:lastPrinted>2023-06-19T16:47:41Z</cp:lastPrinted>
  <dcterms:created xsi:type="dcterms:W3CDTF">2023-05-31T15:54:16Z</dcterms:created>
  <dcterms:modified xsi:type="dcterms:W3CDTF">2026-06-17T17:17:35Z</dcterms:modified>
</cp:coreProperties>
</file>