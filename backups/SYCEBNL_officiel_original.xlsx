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8808" tabRatio="602" firstSheet="33" activeTab="38"/>
  </bookViews>
  <sheets>
    <sheet name="PAGE DE GARDE" sheetId="95" r:id="rId1"/>
    <sheet name="BILAN" sheetId="1" r:id="rId2"/>
    <sheet name="COMPTE_DE_RESULTAT" sheetId="2" r:id="rId3"/>
    <sheet name="EXECUTION BUDGETAIRE" sheetId="96" r:id="rId4"/>
    <sheet name="TFT" sheetId="3" r:id="rId5"/>
    <sheet name="NOTES " sheetId="4" r:id="rId6"/>
    <sheet name="NOTE 1" sheetId="5" r:id="rId7"/>
    <sheet name="NOTE 2" sheetId="6" r:id="rId8"/>
    <sheet name="NOTE 3" sheetId="7" r:id="rId9"/>
    <sheet name="NOTE 4 " sheetId="9" r:id="rId10"/>
    <sheet name="NOTE 5A" sheetId="10" r:id="rId11"/>
    <sheet name="NOTE 5B" sheetId="11" r:id="rId12"/>
    <sheet name="NOTE 5C" sheetId="12" r:id="rId13"/>
    <sheet name="NOTE 5D" sheetId="13" r:id="rId14"/>
    <sheet name="NOTE 5E" sheetId="14" r:id="rId15"/>
    <sheet name="NOTE 5F" sheetId="15" r:id="rId16"/>
    <sheet name="NOTE 5G" sheetId="16" r:id="rId17"/>
    <sheet name="NOTE 5H" sheetId="17" r:id="rId18"/>
    <sheet name="NOTE 6" sheetId="18" r:id="rId19"/>
    <sheet name="NOTE 7" sheetId="19" r:id="rId20"/>
    <sheet name="NOTE 8" sheetId="20" r:id="rId21"/>
    <sheet name="NOTE 9" sheetId="21" r:id="rId22"/>
    <sheet name="NOTE 10" sheetId="22" r:id="rId23"/>
    <sheet name="NOTE 11" sheetId="23" r:id="rId24"/>
    <sheet name="NOTE 12" sheetId="24" r:id="rId25"/>
    <sheet name="NOTE 13" sheetId="25" r:id="rId26"/>
    <sheet name="NOTE 14" sheetId="26" r:id="rId27"/>
    <sheet name="NOTE 15" sheetId="27" r:id="rId28"/>
    <sheet name="NOTE 16" sheetId="28" r:id="rId29"/>
    <sheet name="NOTE 17A" sheetId="29" r:id="rId30"/>
    <sheet name="NOTE 17B" sheetId="30" r:id="rId31"/>
    <sheet name="NOTE 18A" sheetId="31" r:id="rId32"/>
    <sheet name="NOTE 18B" sheetId="32" r:id="rId33"/>
    <sheet name="NOTE 19" sheetId="33" r:id="rId34"/>
    <sheet name="NOTE 20" sheetId="34" r:id="rId35"/>
    <sheet name="NOTE 21" sheetId="35" r:id="rId36"/>
    <sheet name="NOTE 22" sheetId="36" r:id="rId37"/>
    <sheet name="NOTE 23" sheetId="37" r:id="rId38"/>
    <sheet name="NOTE 24" sheetId="38" r:id="rId39"/>
    <sheet name="NOTE 25" sheetId="39" r:id="rId40"/>
    <sheet name="NOTE 26" sheetId="40" r:id="rId41"/>
    <sheet name="NOTE 27" sheetId="41" r:id="rId42"/>
    <sheet name="NOTE 28" sheetId="42" r:id="rId43"/>
    <sheet name="NOTE 29A" sheetId="43" r:id="rId44"/>
    <sheet name="NOTE 29B" sheetId="45" r:id="rId45"/>
    <sheet name="NOTE 30" sheetId="46" r:id="rId46"/>
    <sheet name="NOTE 31" sheetId="47" r:id="rId47"/>
    <sheet name="NOTE 32" sheetId="48" r:id="rId48"/>
    <sheet name="NOTE 33" sheetId="49" r:id="rId49"/>
    <sheet name="NOTE 34" sheetId="50" r:id="rId50"/>
    <sheet name="NOTE 35" sheetId="94" r:id="rId51"/>
    <sheet name="CORRESPONDANCE-BILAN" sheetId="51" r:id="rId52"/>
    <sheet name="CORRESPONDANCE-RESULTAT" sheetId="52" r:id="rId53"/>
  </sheets>
  <definedNames>
    <definedName name="_centreImpot">"CENTRE DES IMPOTS DE "</definedName>
    <definedName name="_dAn">" 2025"</definedName>
    <definedName name="_dBilan">"BILAN AU 31/12/2025"</definedName>
    <definedName name="_dDeb">" 01/01/2025"</definedName>
    <definedName name="_dFin">" 31/12/2025"</definedName>
    <definedName name="_dResTax">"RESULTAT TAXABLE AU 31/12/2025"</definedName>
    <definedName name="_Duree">"Durée (en mois) 12"</definedName>
    <definedName name="_ExerClos">"Exercice clos le 31/12/2025"</definedName>
    <definedName name="_ExerClosMaj">"EXERCICE CLOS LE 31/12/2025"</definedName>
    <definedName name="_ExerFin">" 31/12/2025"</definedName>
    <definedName name="_ExerFin1">" 31/12/2024"</definedName>
    <definedName name="_ExerPer">"Exercice clos le 31/12/2025   Période du 01/01/2025 Au 31/12/2025"</definedName>
    <definedName name="_insae">" "</definedName>
    <definedName name="_Mois">12</definedName>
    <definedName name="_nbMois">12</definedName>
    <definedName name="_nCompletPays">"REPUBLIQUE DU BENIN"</definedName>
    <definedName name="_nSo">"B E N I N  T A L E N T  P O O L"</definedName>
    <definedName name="_nSo1">"Désignation entité : B E N I N  T A L E N T  P O O L"</definedName>
    <definedName name="_nSo2">"DENOMINATION SOCIALE : B E N I N  T A L E N T  P O O L"</definedName>
    <definedName name="_Pays">"REPUBLIQUE DU BENIN"</definedName>
    <definedName name="_Period">"Période du 01/01/2025 Au 31/12/2025"</definedName>
    <definedName name="_regCom">" "</definedName>
    <definedName name="_sigle">" "</definedName>
    <definedName name="_soAct">" "</definedName>
    <definedName name="_soAdr">" "</definedName>
    <definedName name="_soAdr1">"Adresse de l'entité :  "</definedName>
    <definedName name="_soAdr2">"ADRESSE COMPLETE :  "</definedName>
    <definedName name="_soAg1">" "</definedName>
    <definedName name="_soAg2">" "</definedName>
    <definedName name="_soId">" "</definedName>
    <definedName name="_soNom">"B E N I N  T A L E N T  P O O L"</definedName>
    <definedName name="_soNom1">"Désignation entité : B E N I N  T A L E N T  P O O L"</definedName>
    <definedName name="_soNom2">"DENOMINATION SOCIALE : B E N I N  T A L E N T  P O O L"</definedName>
    <definedName name="_sonomSigne">" "</definedName>
    <definedName name="_soNumFisc">" "</definedName>
    <definedName name="_soNumFisc1">"Numéro IFU : "</definedName>
    <definedName name="_soNumFisc2">"N° D'IDENTIFICATION FISCALE : "</definedName>
    <definedName name="_soNumFisc4">"Numéro d’identification :  "</definedName>
    <definedName name="_soregCm">"  "</definedName>
    <definedName name="_soSigle">" "</definedName>
    <definedName name="_soSigle2">"SIGLE USUEL :  "</definedName>
    <definedName name="_soTel">" "</definedName>
    <definedName name="_sTabExer">"Tableau financiers au 31/12/2025"</definedName>
    <definedName name="_Ville">"CENTRE DES IMPÔTS DE COTONOU"</definedName>
    <definedName name="numFisc">" "</definedName>
    <definedName name="_xlnm.Print_Area" localSheetId="1">BILAN!$A$1:$M$40</definedName>
    <definedName name="_xlnm.Print_Area" localSheetId="2">COMPTE_DE_RESULTAT!$A$1:$F$38</definedName>
    <definedName name="_xlnm.Print_Area" localSheetId="51">'CORRESPONDANCE-BILAN'!$A$1:$H$41</definedName>
    <definedName name="_xlnm.Print_Area" localSheetId="52">'CORRESPONDANCE-RESULTAT'!$A$1:$E$36</definedName>
    <definedName name="_xlnm.Print_Area" localSheetId="3">'EXECUTION BUDGETAIRE'!$A$1:$I$9</definedName>
    <definedName name="_xlnm.Print_Area" localSheetId="6">'NOTE 1'!$A$2:$G$51</definedName>
    <definedName name="_xlnm.Print_Area" localSheetId="22">'NOTE 10'!$A$1:$H$26</definedName>
    <definedName name="_xlnm.Print_Area" localSheetId="23">'NOTE 11'!$A$1:$F$24</definedName>
    <definedName name="_xlnm.Print_Area" localSheetId="24">'NOTE 12'!$A$1:$F$21</definedName>
    <definedName name="_xlnm.Print_Area" localSheetId="25">'NOTE 13'!$A$1:$E$32</definedName>
    <definedName name="_xlnm.Print_Area" localSheetId="26">'NOTE 14'!$A$1:$I$20</definedName>
    <definedName name="_xlnm.Print_Area" localSheetId="27">'NOTE 15'!$A$1:$E$41</definedName>
    <definedName name="_xlnm.Print_Area" localSheetId="28">'NOTE 16'!$A$1:$F$17</definedName>
    <definedName name="_xlnm.Print_Area" localSheetId="29">'NOTE 17A'!$A$1:$I$29</definedName>
    <definedName name="_xlnm.Print_Area" localSheetId="30">'NOTE 17B'!$A$1:$H$27</definedName>
    <definedName name="_xlnm.Print_Area" localSheetId="31">'NOTE 18A'!$A$1:$I$40</definedName>
    <definedName name="_xlnm.Print_Area" localSheetId="32">'NOTE 18B'!$A$1:$E$22</definedName>
    <definedName name="_xlnm.Print_Area" localSheetId="33">'NOTE 19'!$A$1:$I$23</definedName>
    <definedName name="_xlnm.Print_Area" localSheetId="7">'NOTE 2'!$A$1:$B$42</definedName>
    <definedName name="_xlnm.Print_Area" localSheetId="34">'NOTE 20'!$A$1:$I$32</definedName>
    <definedName name="_xlnm.Print_Area" localSheetId="35">'NOTE 21'!$A$1:$I$29</definedName>
    <definedName name="_xlnm.Print_Area" localSheetId="36">'NOTE 22'!$A$1:$F$23</definedName>
    <definedName name="_xlnm.Print_Area" localSheetId="37">'NOTE 23'!$A$1:$I$26</definedName>
    <definedName name="_xlnm.Print_Area" localSheetId="38">'NOTE 24'!$A$1:$F$37</definedName>
    <definedName name="_xlnm.Print_Area" localSheetId="39">'NOTE 25'!$A$1:$F$19</definedName>
    <definedName name="_xlnm.Print_Area" localSheetId="40">'NOTE 26'!$A$1:$F$30</definedName>
    <definedName name="_xlnm.Print_Area" localSheetId="41">'NOTE 27'!$A$1:$H$21</definedName>
    <definedName name="_xlnm.Print_Area" localSheetId="42">'NOTE 28'!$A$1:$F$23</definedName>
    <definedName name="_xlnm.Print_Area" localSheetId="43">'NOTE 29A'!$A$1:$J$25</definedName>
    <definedName name="_xlnm.Print_Area" localSheetId="44">'NOTE 29B'!$A$1:$Q$32</definedName>
    <definedName name="_xlnm.Print_Area" localSheetId="8">'NOTE 3'!$A$1:$B$29</definedName>
    <definedName name="_xlnm.Print_Area" localSheetId="45">'NOTE 30'!$A$1:$J$33</definedName>
    <definedName name="_xlnm.Print_Area" localSheetId="46">'NOTE 31'!$A$1:$F$34</definedName>
    <definedName name="_xlnm.Print_Area" localSheetId="47">'NOTE 32'!$A$1:$F$33</definedName>
    <definedName name="_xlnm.Print_Area" localSheetId="48">'NOTE 33'!$A$1:$F$50</definedName>
    <definedName name="_xlnm.Print_Area" localSheetId="49">'NOTE 34'!$A$1:$B$52</definedName>
    <definedName name="_xlnm.Print_Area" localSheetId="50">'NOTE 35'!$A$1:$J$29</definedName>
    <definedName name="_xlnm.Print_Area" localSheetId="9">'NOTE 4 '!$A$2:$B$30</definedName>
    <definedName name="_xlnm.Print_Area" localSheetId="10">'NOTE 5A'!$A$1:$I$27</definedName>
    <definedName name="_xlnm.Print_Area" localSheetId="11">'NOTE 5B'!$A$1:$I$34</definedName>
    <definedName name="_xlnm.Print_Area" localSheetId="12">'NOTE 5C'!$A$1:$J$15</definedName>
    <definedName name="_xlnm.Print_Area" localSheetId="13">'NOTE 5D'!$A$1:$L$21</definedName>
    <definedName name="_xlnm.Print_Area" localSheetId="14">'NOTE 5E'!$A$1:$H$26</definedName>
    <definedName name="_xlnm.Print_Area" localSheetId="15">'NOTE 5F'!$A$1:$F$30</definedName>
    <definedName name="_xlnm.Print_Area" localSheetId="16">'NOTE 5G'!$A$3:$G$28</definedName>
    <definedName name="_xlnm.Print_Area" localSheetId="17">'NOTE 5H'!$A$1:$E$27</definedName>
    <definedName name="_xlnm.Print_Area" localSheetId="18">'NOTE 6'!$A$1:$H$28</definedName>
    <definedName name="_xlnm.Print_Area" localSheetId="19">'NOTE 7'!$A$1:$F$34</definedName>
    <definedName name="_xlnm.Print_Area" localSheetId="20">'NOTE 8'!$A$1:$G$26</definedName>
    <definedName name="_xlnm.Print_Area" localSheetId="21">'NOTE 9'!$A$1:$I$27</definedName>
    <definedName name="_xlnm.Print_Area" localSheetId="5">'NOTES '!$A$1:$D$65</definedName>
    <definedName name="_xlnm.Print_Area" localSheetId="4">TFT!$A$1:$G$39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38" l="1"/>
  <c r="D25" i="38"/>
  <c r="B17" i="33"/>
  <c r="C17" i="33"/>
  <c r="F10" i="96" l="1"/>
  <c r="F11" i="96"/>
  <c r="G11" i="96" s="1"/>
  <c r="F12" i="96"/>
  <c r="G12" i="96" s="1"/>
  <c r="F13" i="96"/>
  <c r="G10" i="96"/>
  <c r="G13" i="96"/>
  <c r="H10" i="96"/>
  <c r="H11" i="96"/>
  <c r="H13" i="96"/>
  <c r="B23" i="11"/>
  <c r="D23" i="11"/>
  <c r="E23" i="11"/>
  <c r="F23" i="11"/>
  <c r="G23" i="11"/>
  <c r="H23" i="11"/>
  <c r="C23" i="11"/>
  <c r="H12" i="96" l="1"/>
  <c r="H17" i="10"/>
  <c r="F31" i="3"/>
  <c r="F27" i="3"/>
  <c r="F22" i="3"/>
  <c r="F16" i="3"/>
  <c r="E16" i="3"/>
  <c r="E22" i="3"/>
  <c r="E31" i="3"/>
  <c r="E27" i="3"/>
  <c r="H9" i="96"/>
  <c r="F9" i="96"/>
  <c r="G9" i="96" s="1"/>
  <c r="E25" i="95"/>
  <c r="G20" i="95" l="1"/>
  <c r="E15" i="2"/>
  <c r="D15" i="2"/>
  <c r="D31" i="1"/>
  <c r="H25" i="94" l="1"/>
  <c r="D25" i="94"/>
  <c r="F25" i="94" s="1"/>
  <c r="E25" i="94"/>
  <c r="C25" i="94"/>
  <c r="G25" i="94" s="1"/>
  <c r="H13" i="94"/>
  <c r="H14" i="94"/>
  <c r="H15" i="94"/>
  <c r="H16" i="94"/>
  <c r="H17" i="94"/>
  <c r="H18" i="94"/>
  <c r="H19" i="94"/>
  <c r="H20" i="94"/>
  <c r="H21" i="94"/>
  <c r="H22" i="94"/>
  <c r="H23" i="94"/>
  <c r="H24" i="94"/>
  <c r="H12" i="94"/>
  <c r="G18" i="94"/>
  <c r="F13" i="94"/>
  <c r="G13" i="94" s="1"/>
  <c r="F14" i="94"/>
  <c r="G14" i="94" s="1"/>
  <c r="F15" i="94"/>
  <c r="G15" i="94" s="1"/>
  <c r="F16" i="94"/>
  <c r="G16" i="94" s="1"/>
  <c r="F17" i="94"/>
  <c r="G17" i="94" s="1"/>
  <c r="F18" i="94"/>
  <c r="F19" i="94"/>
  <c r="G19" i="94" s="1"/>
  <c r="F20" i="94"/>
  <c r="G20" i="94" s="1"/>
  <c r="F21" i="94"/>
  <c r="G21" i="94" s="1"/>
  <c r="F22" i="94"/>
  <c r="G22" i="94" s="1"/>
  <c r="F23" i="94"/>
  <c r="G23" i="94" s="1"/>
  <c r="F24" i="94"/>
  <c r="G24" i="94" s="1"/>
  <c r="F12" i="94"/>
  <c r="G12" i="94" s="1"/>
  <c r="D7" i="18" l="1"/>
  <c r="E35" i="49" l="1"/>
  <c r="E36" i="49"/>
  <c r="E34" i="49"/>
  <c r="D35" i="49"/>
  <c r="D36" i="49"/>
  <c r="D34" i="49"/>
  <c r="C37" i="49"/>
  <c r="E37" i="49" s="1"/>
  <c r="B37" i="49"/>
  <c r="E18" i="49"/>
  <c r="E20" i="49"/>
  <c r="E22" i="49"/>
  <c r="E23" i="49"/>
  <c r="E25" i="49"/>
  <c r="E26" i="49"/>
  <c r="E30" i="49"/>
  <c r="E17" i="49"/>
  <c r="D18" i="49"/>
  <c r="D20" i="49"/>
  <c r="D22" i="49"/>
  <c r="D23" i="49"/>
  <c r="D25" i="49"/>
  <c r="D26" i="49"/>
  <c r="D30" i="49"/>
  <c r="D17" i="49"/>
  <c r="C27" i="49"/>
  <c r="E27" i="49" s="1"/>
  <c r="B27" i="49"/>
  <c r="D27" i="49" s="1"/>
  <c r="C24" i="49"/>
  <c r="E24" i="49" s="1"/>
  <c r="B24" i="49"/>
  <c r="C19" i="49"/>
  <c r="E19" i="49" s="1"/>
  <c r="B19" i="49"/>
  <c r="D19" i="49" s="1"/>
  <c r="E10" i="49"/>
  <c r="E11" i="49"/>
  <c r="E12" i="49"/>
  <c r="E13" i="49"/>
  <c r="E15" i="49"/>
  <c r="C9" i="49"/>
  <c r="E9" i="49" s="1"/>
  <c r="D15" i="49"/>
  <c r="E17" i="48"/>
  <c r="E18" i="48"/>
  <c r="E19" i="48"/>
  <c r="E20" i="48"/>
  <c r="E21" i="48"/>
  <c r="E22" i="48"/>
  <c r="E23" i="48"/>
  <c r="E24" i="48"/>
  <c r="E25" i="48"/>
  <c r="E26" i="48"/>
  <c r="D17" i="48"/>
  <c r="D18" i="48"/>
  <c r="D19" i="48"/>
  <c r="D20" i="48"/>
  <c r="D21" i="48"/>
  <c r="D22" i="48"/>
  <c r="D23" i="48"/>
  <c r="D24" i="48"/>
  <c r="D25" i="48"/>
  <c r="D26" i="48"/>
  <c r="C27" i="48"/>
  <c r="E27" i="48" s="1"/>
  <c r="B27" i="48"/>
  <c r="E9" i="48"/>
  <c r="E10" i="48"/>
  <c r="E11" i="48"/>
  <c r="E12" i="48"/>
  <c r="E13" i="48"/>
  <c r="E14" i="48"/>
  <c r="E15" i="48"/>
  <c r="E8" i="48"/>
  <c r="D9" i="48"/>
  <c r="D10" i="48"/>
  <c r="D11" i="48"/>
  <c r="D12" i="48"/>
  <c r="D13" i="48"/>
  <c r="D14" i="48"/>
  <c r="D15" i="48"/>
  <c r="D8" i="48"/>
  <c r="C16" i="48"/>
  <c r="B16" i="48"/>
  <c r="E17" i="47"/>
  <c r="E18" i="47"/>
  <c r="E19" i="47"/>
  <c r="E20" i="47"/>
  <c r="E21" i="47"/>
  <c r="E22" i="47"/>
  <c r="E23" i="47"/>
  <c r="E24" i="47"/>
  <c r="E25" i="47"/>
  <c r="E26" i="47"/>
  <c r="D17" i="47"/>
  <c r="D18" i="47"/>
  <c r="D19" i="47"/>
  <c r="D20" i="47"/>
  <c r="D21" i="47"/>
  <c r="D22" i="47"/>
  <c r="D23" i="47"/>
  <c r="D24" i="47"/>
  <c r="D25" i="47"/>
  <c r="D26" i="47"/>
  <c r="C27" i="47"/>
  <c r="E27" i="47" s="1"/>
  <c r="B27" i="47"/>
  <c r="E9" i="47"/>
  <c r="E10" i="47"/>
  <c r="E11" i="47"/>
  <c r="E12" i="47"/>
  <c r="E13" i="47"/>
  <c r="E14" i="47"/>
  <c r="E15" i="47"/>
  <c r="E8" i="47"/>
  <c r="D9" i="47"/>
  <c r="D10" i="47"/>
  <c r="D11" i="47"/>
  <c r="D12" i="47"/>
  <c r="D13" i="47"/>
  <c r="D14" i="47"/>
  <c r="D15" i="47"/>
  <c r="D8" i="47"/>
  <c r="C16" i="47"/>
  <c r="B16" i="47"/>
  <c r="I16" i="46"/>
  <c r="I17" i="46"/>
  <c r="I18" i="46"/>
  <c r="I19" i="46"/>
  <c r="I20" i="46"/>
  <c r="I21" i="46"/>
  <c r="I22" i="46"/>
  <c r="I23" i="46"/>
  <c r="I24" i="46"/>
  <c r="I25" i="46"/>
  <c r="I26" i="46"/>
  <c r="I27" i="46"/>
  <c r="I15" i="46"/>
  <c r="C28" i="46"/>
  <c r="C29" i="46" s="1"/>
  <c r="C22" i="35" s="1"/>
  <c r="E22" i="35" s="1"/>
  <c r="D28" i="46"/>
  <c r="D29" i="46" s="1"/>
  <c r="E28" i="46"/>
  <c r="E29" i="46" s="1"/>
  <c r="F28" i="46"/>
  <c r="F29" i="46" s="1"/>
  <c r="G28" i="46"/>
  <c r="G29" i="46" s="1"/>
  <c r="H28" i="46"/>
  <c r="B28" i="46"/>
  <c r="B29" i="46" s="1"/>
  <c r="I10" i="46"/>
  <c r="I11" i="46"/>
  <c r="I12" i="46"/>
  <c r="I13" i="46"/>
  <c r="I9" i="46"/>
  <c r="M27" i="45"/>
  <c r="J27" i="45"/>
  <c r="D27" i="45"/>
  <c r="E27" i="45"/>
  <c r="F27" i="45"/>
  <c r="G27" i="45"/>
  <c r="H27" i="45"/>
  <c r="C27" i="45"/>
  <c r="P12" i="45"/>
  <c r="P13" i="45"/>
  <c r="P14" i="45"/>
  <c r="P11" i="45"/>
  <c r="K15" i="45"/>
  <c r="L15" i="45"/>
  <c r="M15" i="45"/>
  <c r="N15" i="45"/>
  <c r="O15" i="45"/>
  <c r="J15" i="45"/>
  <c r="I12" i="45"/>
  <c r="I13" i="45"/>
  <c r="I14" i="45"/>
  <c r="I11" i="45"/>
  <c r="D15" i="45"/>
  <c r="E15" i="45"/>
  <c r="F15" i="45"/>
  <c r="F31" i="45" s="1"/>
  <c r="G15" i="45"/>
  <c r="H15" i="45"/>
  <c r="H31" i="45" s="1"/>
  <c r="C15" i="45"/>
  <c r="E9" i="43"/>
  <c r="E10" i="43"/>
  <c r="E11" i="43"/>
  <c r="E12" i="43"/>
  <c r="E13" i="43"/>
  <c r="E14" i="43"/>
  <c r="E15" i="43"/>
  <c r="E16" i="43"/>
  <c r="E8" i="43"/>
  <c r="D9" i="43"/>
  <c r="D10" i="43"/>
  <c r="D11" i="43"/>
  <c r="D12" i="43"/>
  <c r="D13" i="43"/>
  <c r="D14" i="43"/>
  <c r="D15" i="43"/>
  <c r="D16" i="43"/>
  <c r="D8" i="43"/>
  <c r="C17" i="43"/>
  <c r="E17" i="43" s="1"/>
  <c r="B17" i="43"/>
  <c r="E9" i="42"/>
  <c r="E10" i="42"/>
  <c r="E11" i="42"/>
  <c r="E12" i="42"/>
  <c r="E13" i="42"/>
  <c r="E14" i="42"/>
  <c r="E15" i="42"/>
  <c r="E8" i="42"/>
  <c r="D9" i="42"/>
  <c r="D10" i="42"/>
  <c r="D11" i="42"/>
  <c r="D12" i="42"/>
  <c r="D13" i="42"/>
  <c r="D14" i="42"/>
  <c r="D15" i="42"/>
  <c r="D8" i="42"/>
  <c r="C16" i="42"/>
  <c r="B16" i="42"/>
  <c r="E9" i="41"/>
  <c r="E10" i="41"/>
  <c r="E11" i="41"/>
  <c r="E12" i="41"/>
  <c r="E13" i="41"/>
  <c r="E8" i="41"/>
  <c r="D9" i="41"/>
  <c r="D10" i="41"/>
  <c r="D11" i="41"/>
  <c r="D12" i="41"/>
  <c r="D13" i="41"/>
  <c r="D8" i="41"/>
  <c r="C14" i="41"/>
  <c r="B14" i="41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E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8" i="40"/>
  <c r="C25" i="40"/>
  <c r="B25" i="40"/>
  <c r="E9" i="39"/>
  <c r="E10" i="39"/>
  <c r="E11" i="39"/>
  <c r="E12" i="39"/>
  <c r="E13" i="39"/>
  <c r="E14" i="39"/>
  <c r="E8" i="39"/>
  <c r="D9" i="39"/>
  <c r="D10" i="39"/>
  <c r="D11" i="39"/>
  <c r="D12" i="39"/>
  <c r="D13" i="39"/>
  <c r="D14" i="39"/>
  <c r="D8" i="39"/>
  <c r="C15" i="39"/>
  <c r="B15" i="39"/>
  <c r="C31" i="38"/>
  <c r="B31" i="38"/>
  <c r="C15" i="38"/>
  <c r="E15" i="38" s="1"/>
  <c r="B15" i="38"/>
  <c r="D12" i="38"/>
  <c r="D13" i="38"/>
  <c r="D14" i="38"/>
  <c r="D16" i="38"/>
  <c r="D17" i="38"/>
  <c r="D18" i="38"/>
  <c r="D19" i="38"/>
  <c r="D20" i="38"/>
  <c r="D21" i="38"/>
  <c r="D22" i="38"/>
  <c r="D23" i="38"/>
  <c r="D24" i="38"/>
  <c r="D26" i="38"/>
  <c r="D27" i="38"/>
  <c r="D28" i="38"/>
  <c r="D29" i="38"/>
  <c r="D30" i="38"/>
  <c r="E9" i="38"/>
  <c r="E10" i="38"/>
  <c r="E12" i="38"/>
  <c r="E13" i="38"/>
  <c r="E14" i="38"/>
  <c r="E16" i="38"/>
  <c r="E17" i="38"/>
  <c r="E18" i="38"/>
  <c r="E19" i="38"/>
  <c r="E20" i="38"/>
  <c r="E21" i="38"/>
  <c r="E22" i="38"/>
  <c r="E23" i="38"/>
  <c r="E24" i="38"/>
  <c r="E26" i="38"/>
  <c r="E27" i="38"/>
  <c r="E28" i="38"/>
  <c r="E29" i="38"/>
  <c r="E30" i="38"/>
  <c r="E8" i="38"/>
  <c r="D9" i="38"/>
  <c r="D10" i="38"/>
  <c r="D8" i="38"/>
  <c r="C11" i="38"/>
  <c r="E11" i="38" s="1"/>
  <c r="B11" i="38"/>
  <c r="E10" i="37"/>
  <c r="E11" i="37"/>
  <c r="E12" i="37"/>
  <c r="E13" i="37"/>
  <c r="E14" i="37"/>
  <c r="E16" i="37"/>
  <c r="E17" i="37"/>
  <c r="E9" i="37"/>
  <c r="D10" i="37"/>
  <c r="D11" i="37"/>
  <c r="D12" i="37"/>
  <c r="D13" i="37"/>
  <c r="D14" i="37"/>
  <c r="D16" i="37"/>
  <c r="D17" i="37"/>
  <c r="D9" i="37"/>
  <c r="C18" i="37"/>
  <c r="E18" i="37" s="1"/>
  <c r="B18" i="37"/>
  <c r="C15" i="37"/>
  <c r="B15" i="37"/>
  <c r="E9" i="36"/>
  <c r="E10" i="36"/>
  <c r="E11" i="36"/>
  <c r="E12" i="36"/>
  <c r="E8" i="36"/>
  <c r="D9" i="36"/>
  <c r="D10" i="36"/>
  <c r="D11" i="36"/>
  <c r="D12" i="36"/>
  <c r="D8" i="36"/>
  <c r="C13" i="36"/>
  <c r="B13" i="36"/>
  <c r="C29" i="47" l="1"/>
  <c r="E29" i="47" s="1"/>
  <c r="B29" i="47"/>
  <c r="D18" i="37"/>
  <c r="D27" i="48"/>
  <c r="D27" i="47"/>
  <c r="E16" i="42"/>
  <c r="E14" i="41"/>
  <c r="E25" i="40"/>
  <c r="E15" i="39"/>
  <c r="E31" i="38"/>
  <c r="D31" i="38"/>
  <c r="E15" i="37"/>
  <c r="D15" i="37"/>
  <c r="C29" i="48"/>
  <c r="D31" i="45"/>
  <c r="H29" i="46"/>
  <c r="I29" i="46" s="1"/>
  <c r="B22" i="35" s="1"/>
  <c r="D22" i="35" s="1"/>
  <c r="D13" i="36"/>
  <c r="D15" i="36" s="1"/>
  <c r="B15" i="36"/>
  <c r="E16" i="47"/>
  <c r="B28" i="49"/>
  <c r="E13" i="36"/>
  <c r="E15" i="36" s="1"/>
  <c r="C15" i="36"/>
  <c r="C20" i="37"/>
  <c r="D11" i="38"/>
  <c r="D15" i="38"/>
  <c r="D15" i="39"/>
  <c r="D25" i="40"/>
  <c r="D14" i="41"/>
  <c r="D17" i="43"/>
  <c r="I15" i="45"/>
  <c r="I31" i="45" s="1"/>
  <c r="I28" i="46"/>
  <c r="C31" i="45"/>
  <c r="D16" i="47"/>
  <c r="B20" i="37"/>
  <c r="G31" i="45"/>
  <c r="E31" i="45"/>
  <c r="D16" i="48"/>
  <c r="B29" i="48"/>
  <c r="C21" i="49"/>
  <c r="C28" i="49"/>
  <c r="E28" i="49" s="1"/>
  <c r="D24" i="49"/>
  <c r="D37" i="49"/>
  <c r="I14" i="46"/>
  <c r="E16" i="48"/>
  <c r="E29" i="48" s="1"/>
  <c r="B21" i="49"/>
  <c r="E14" i="49"/>
  <c r="D14" i="49"/>
  <c r="D16" i="42"/>
  <c r="E14" i="35"/>
  <c r="E15" i="35"/>
  <c r="E16" i="35"/>
  <c r="E17" i="35"/>
  <c r="E13" i="35"/>
  <c r="D14" i="35"/>
  <c r="D15" i="35"/>
  <c r="D16" i="35"/>
  <c r="D17" i="35"/>
  <c r="D13" i="35"/>
  <c r="C18" i="35"/>
  <c r="E18" i="35" s="1"/>
  <c r="F18" i="35"/>
  <c r="G18" i="35"/>
  <c r="H18" i="35"/>
  <c r="B18" i="35"/>
  <c r="E9" i="35"/>
  <c r="E10" i="35"/>
  <c r="E11" i="35"/>
  <c r="E8" i="35"/>
  <c r="D9" i="35"/>
  <c r="D10" i="35"/>
  <c r="D11" i="35"/>
  <c r="D8" i="35"/>
  <c r="C12" i="35"/>
  <c r="F12" i="35"/>
  <c r="G12" i="35"/>
  <c r="G20" i="35" s="1"/>
  <c r="H12" i="35"/>
  <c r="B12" i="35"/>
  <c r="E9" i="34"/>
  <c r="E10" i="34"/>
  <c r="E11" i="34"/>
  <c r="E12" i="34"/>
  <c r="E13" i="34"/>
  <c r="E14" i="34"/>
  <c r="E15" i="34"/>
  <c r="E16" i="34"/>
  <c r="E17" i="34"/>
  <c r="E8" i="34"/>
  <c r="D9" i="34"/>
  <c r="D10" i="34"/>
  <c r="D11" i="34"/>
  <c r="D12" i="34"/>
  <c r="D13" i="34"/>
  <c r="D14" i="34"/>
  <c r="D15" i="34"/>
  <c r="D16" i="34"/>
  <c r="D17" i="34"/>
  <c r="D8" i="34"/>
  <c r="C23" i="34"/>
  <c r="E23" i="34" s="1"/>
  <c r="F23" i="34"/>
  <c r="G23" i="34"/>
  <c r="H23" i="34"/>
  <c r="B23" i="34"/>
  <c r="C18" i="34"/>
  <c r="F18" i="34"/>
  <c r="G18" i="34"/>
  <c r="G25" i="34" s="1"/>
  <c r="H18" i="34"/>
  <c r="H25" i="34" s="1"/>
  <c r="B18" i="34"/>
  <c r="E9" i="33"/>
  <c r="E10" i="33"/>
  <c r="E11" i="33"/>
  <c r="E12" i="33"/>
  <c r="D9" i="33"/>
  <c r="D10" i="33"/>
  <c r="D11" i="33"/>
  <c r="D12" i="33"/>
  <c r="G17" i="33"/>
  <c r="E8" i="33"/>
  <c r="D8" i="33"/>
  <c r="C13" i="33"/>
  <c r="F13" i="33"/>
  <c r="F17" i="33" s="1"/>
  <c r="G13" i="33"/>
  <c r="H13" i="33"/>
  <c r="H17" i="33" s="1"/>
  <c r="B13" i="33"/>
  <c r="C27" i="31"/>
  <c r="D27" i="31"/>
  <c r="E27" i="31"/>
  <c r="B27" i="31"/>
  <c r="C20" i="31"/>
  <c r="E20" i="31" s="1"/>
  <c r="F20" i="31"/>
  <c r="G20" i="31"/>
  <c r="H20" i="31"/>
  <c r="B20" i="31"/>
  <c r="G14" i="31"/>
  <c r="H14" i="31"/>
  <c r="F14" i="31"/>
  <c r="E9" i="31"/>
  <c r="E10" i="31"/>
  <c r="E11" i="31"/>
  <c r="E12" i="31"/>
  <c r="E13" i="31"/>
  <c r="E8" i="31"/>
  <c r="D9" i="31"/>
  <c r="D10" i="31"/>
  <c r="D11" i="31"/>
  <c r="D12" i="31"/>
  <c r="D13" i="31"/>
  <c r="D8" i="31"/>
  <c r="C14" i="31"/>
  <c r="E14" i="31" s="1"/>
  <c r="B14" i="31"/>
  <c r="F9" i="30"/>
  <c r="F10" i="30"/>
  <c r="F11" i="30"/>
  <c r="F13" i="30"/>
  <c r="F14" i="30"/>
  <c r="F15" i="30"/>
  <c r="E9" i="30"/>
  <c r="E10" i="30"/>
  <c r="E11" i="30"/>
  <c r="E13" i="30"/>
  <c r="E14" i="30"/>
  <c r="E15" i="30"/>
  <c r="E8" i="30"/>
  <c r="F8" i="30"/>
  <c r="F9" i="29"/>
  <c r="F10" i="29"/>
  <c r="F11" i="29"/>
  <c r="F12" i="29"/>
  <c r="F13" i="29"/>
  <c r="F14" i="29"/>
  <c r="F15" i="29"/>
  <c r="E9" i="29"/>
  <c r="E10" i="29"/>
  <c r="E11" i="29"/>
  <c r="E12" i="29"/>
  <c r="E13" i="29"/>
  <c r="E14" i="29"/>
  <c r="E15" i="29"/>
  <c r="E8" i="29"/>
  <c r="F8" i="29"/>
  <c r="E9" i="28"/>
  <c r="D9" i="28"/>
  <c r="D8" i="28"/>
  <c r="E8" i="28"/>
  <c r="B18" i="25"/>
  <c r="C18" i="25"/>
  <c r="E9" i="25"/>
  <c r="E10" i="25"/>
  <c r="E11" i="25"/>
  <c r="E12" i="25"/>
  <c r="E13" i="25"/>
  <c r="E14" i="25"/>
  <c r="E15" i="25"/>
  <c r="E16" i="25"/>
  <c r="E17" i="25"/>
  <c r="E19" i="25"/>
  <c r="D9" i="25"/>
  <c r="D10" i="25"/>
  <c r="D11" i="25"/>
  <c r="D12" i="25"/>
  <c r="D13" i="25"/>
  <c r="D14" i="25"/>
  <c r="D15" i="25"/>
  <c r="D16" i="25"/>
  <c r="D17" i="25"/>
  <c r="D19" i="25"/>
  <c r="D8" i="25"/>
  <c r="E8" i="25"/>
  <c r="D9" i="24"/>
  <c r="D10" i="24"/>
  <c r="D11" i="24"/>
  <c r="D13" i="24"/>
  <c r="D8" i="24"/>
  <c r="E9" i="24"/>
  <c r="E10" i="24"/>
  <c r="E11" i="24"/>
  <c r="E13" i="24"/>
  <c r="E8" i="24"/>
  <c r="D9" i="23"/>
  <c r="D10" i="23"/>
  <c r="D11" i="23"/>
  <c r="D12" i="23"/>
  <c r="D13" i="23"/>
  <c r="D14" i="23"/>
  <c r="D16" i="23"/>
  <c r="D8" i="23"/>
  <c r="E9" i="23"/>
  <c r="E10" i="23"/>
  <c r="E11" i="23"/>
  <c r="E12" i="23"/>
  <c r="E13" i="23"/>
  <c r="E14" i="23"/>
  <c r="E16" i="23"/>
  <c r="E8" i="23"/>
  <c r="E10" i="22"/>
  <c r="E11" i="22"/>
  <c r="E12" i="22"/>
  <c r="E13" i="22"/>
  <c r="E14" i="22"/>
  <c r="E15" i="22"/>
  <c r="E17" i="22"/>
  <c r="D10" i="22"/>
  <c r="D11" i="22"/>
  <c r="D12" i="22"/>
  <c r="D13" i="22"/>
  <c r="D14" i="22"/>
  <c r="D15" i="22"/>
  <c r="D17" i="22"/>
  <c r="D9" i="22"/>
  <c r="E9" i="22"/>
  <c r="E9" i="21"/>
  <c r="E10" i="21"/>
  <c r="E11" i="21"/>
  <c r="E12" i="21"/>
  <c r="E14" i="21"/>
  <c r="E16" i="21"/>
  <c r="E17" i="21"/>
  <c r="E18" i="21"/>
  <c r="E8" i="21"/>
  <c r="D9" i="21"/>
  <c r="D10" i="21"/>
  <c r="D11" i="21"/>
  <c r="D12" i="21"/>
  <c r="D14" i="21"/>
  <c r="D16" i="21"/>
  <c r="D17" i="21"/>
  <c r="D18" i="21"/>
  <c r="D8" i="21"/>
  <c r="E25" i="19"/>
  <c r="E26" i="19"/>
  <c r="E27" i="19"/>
  <c r="E24" i="19"/>
  <c r="F9" i="20"/>
  <c r="F10" i="20"/>
  <c r="F11" i="20"/>
  <c r="F12" i="20"/>
  <c r="F13" i="20"/>
  <c r="F14" i="20"/>
  <c r="F16" i="20"/>
  <c r="F8" i="20"/>
  <c r="E9" i="20"/>
  <c r="E10" i="20"/>
  <c r="E11" i="20"/>
  <c r="E12" i="20"/>
  <c r="E13" i="20"/>
  <c r="E14" i="20"/>
  <c r="E16" i="20"/>
  <c r="E8" i="20"/>
  <c r="D27" i="19"/>
  <c r="E10" i="19"/>
  <c r="E11" i="19"/>
  <c r="E13" i="19"/>
  <c r="E14" i="19"/>
  <c r="E9" i="19"/>
  <c r="D14" i="19"/>
  <c r="D16" i="30"/>
  <c r="F16" i="30" s="1"/>
  <c r="C16" i="30"/>
  <c r="D12" i="30"/>
  <c r="F12" i="30" s="1"/>
  <c r="C12" i="30"/>
  <c r="D20" i="29"/>
  <c r="F20" i="29" s="1"/>
  <c r="C20" i="29"/>
  <c r="C10" i="28"/>
  <c r="E10" i="28" s="1"/>
  <c r="B10" i="28"/>
  <c r="D29" i="47" l="1"/>
  <c r="B25" i="34"/>
  <c r="D18" i="35"/>
  <c r="C25" i="34"/>
  <c r="D23" i="34"/>
  <c r="E13" i="33"/>
  <c r="D29" i="48"/>
  <c r="E20" i="37"/>
  <c r="D20" i="37"/>
  <c r="E12" i="30"/>
  <c r="D10" i="28"/>
  <c r="F20" i="35"/>
  <c r="D20" i="31"/>
  <c r="E17" i="33"/>
  <c r="D13" i="33"/>
  <c r="D12" i="35"/>
  <c r="B20" i="35"/>
  <c r="E12" i="35"/>
  <c r="E20" i="35" s="1"/>
  <c r="C20" i="35"/>
  <c r="D28" i="49"/>
  <c r="D17" i="30"/>
  <c r="F17" i="30" s="1"/>
  <c r="E16" i="30"/>
  <c r="F25" i="34"/>
  <c r="H20" i="35"/>
  <c r="F16" i="29"/>
  <c r="D18" i="34"/>
  <c r="E18" i="34"/>
  <c r="E25" i="34" s="1"/>
  <c r="D21" i="49"/>
  <c r="B29" i="49"/>
  <c r="E21" i="49"/>
  <c r="C29" i="49"/>
  <c r="E29" i="49" s="1"/>
  <c r="D13" i="49"/>
  <c r="D14" i="31"/>
  <c r="C17" i="30"/>
  <c r="E16" i="29"/>
  <c r="E20" i="29"/>
  <c r="D8" i="18"/>
  <c r="D9" i="18"/>
  <c r="D10" i="18"/>
  <c r="D11" i="18"/>
  <c r="D12" i="18"/>
  <c r="D13" i="18"/>
  <c r="D14" i="18"/>
  <c r="D16" i="18"/>
  <c r="D17" i="18"/>
  <c r="E18" i="25"/>
  <c r="C12" i="24"/>
  <c r="E12" i="24" s="1"/>
  <c r="B12" i="24"/>
  <c r="C15" i="23"/>
  <c r="B15" i="23"/>
  <c r="C16" i="22"/>
  <c r="E16" i="22" s="1"/>
  <c r="F16" i="22"/>
  <c r="G16" i="22"/>
  <c r="H16" i="22"/>
  <c r="B16" i="22"/>
  <c r="F19" i="21"/>
  <c r="G19" i="21"/>
  <c r="H19" i="21"/>
  <c r="C13" i="21"/>
  <c r="E13" i="21" s="1"/>
  <c r="F13" i="21"/>
  <c r="G13" i="21"/>
  <c r="H13" i="21"/>
  <c r="B13" i="21"/>
  <c r="B15" i="21" s="1"/>
  <c r="C15" i="20"/>
  <c r="D15" i="20"/>
  <c r="D17" i="20" s="1"/>
  <c r="B15" i="20"/>
  <c r="C28" i="19"/>
  <c r="E28" i="19" s="1"/>
  <c r="B28" i="19"/>
  <c r="C12" i="19"/>
  <c r="B12" i="19"/>
  <c r="C15" i="18"/>
  <c r="C18" i="18" s="1"/>
  <c r="E15" i="18"/>
  <c r="F15" i="18"/>
  <c r="G15" i="18"/>
  <c r="B15" i="18"/>
  <c r="B18" i="18" s="1"/>
  <c r="C15" i="17"/>
  <c r="D15" i="17"/>
  <c r="B15" i="17"/>
  <c r="C22" i="16"/>
  <c r="E22" i="16"/>
  <c r="B22" i="16"/>
  <c r="D21" i="16"/>
  <c r="D20" i="16"/>
  <c r="F20" i="16" s="1"/>
  <c r="C19" i="16"/>
  <c r="E19" i="16"/>
  <c r="B19" i="16"/>
  <c r="D15" i="16"/>
  <c r="F15" i="16" s="1"/>
  <c r="D16" i="16"/>
  <c r="F16" i="16" s="1"/>
  <c r="D17" i="16"/>
  <c r="F17" i="16" s="1"/>
  <c r="D18" i="16"/>
  <c r="F18" i="16" s="1"/>
  <c r="D14" i="16"/>
  <c r="D12" i="16"/>
  <c r="F12" i="16" s="1"/>
  <c r="D11" i="16"/>
  <c r="F11" i="16" s="1"/>
  <c r="D10" i="16"/>
  <c r="F10" i="16" s="1"/>
  <c r="C13" i="16"/>
  <c r="E13" i="16"/>
  <c r="B13" i="16"/>
  <c r="C22" i="15"/>
  <c r="D22" i="15"/>
  <c r="B22" i="15"/>
  <c r="E21" i="15"/>
  <c r="E20" i="15"/>
  <c r="C19" i="15"/>
  <c r="D19" i="15"/>
  <c r="B19" i="15"/>
  <c r="E12" i="15"/>
  <c r="E13" i="15"/>
  <c r="E14" i="15"/>
  <c r="E15" i="15"/>
  <c r="E16" i="15"/>
  <c r="E17" i="15"/>
  <c r="E18" i="15"/>
  <c r="E11" i="15"/>
  <c r="E7" i="15"/>
  <c r="E8" i="15"/>
  <c r="E9" i="15"/>
  <c r="E6" i="15"/>
  <c r="C10" i="15"/>
  <c r="D10" i="15"/>
  <c r="B10" i="15"/>
  <c r="H24" i="11"/>
  <c r="H25" i="11"/>
  <c r="H22" i="11"/>
  <c r="H15" i="11"/>
  <c r="H16" i="11"/>
  <c r="H17" i="11"/>
  <c r="H18" i="11"/>
  <c r="H19" i="11"/>
  <c r="H20" i="11"/>
  <c r="H21" i="11"/>
  <c r="H10" i="11"/>
  <c r="H11" i="11"/>
  <c r="H12" i="11"/>
  <c r="H13" i="11"/>
  <c r="H19" i="10"/>
  <c r="H20" i="10"/>
  <c r="H15" i="10"/>
  <c r="H16" i="10"/>
  <c r="H11" i="10"/>
  <c r="H12" i="10"/>
  <c r="H13" i="10"/>
  <c r="G13" i="14"/>
  <c r="G14" i="14"/>
  <c r="G15" i="14"/>
  <c r="G16" i="14"/>
  <c r="G17" i="14"/>
  <c r="G18" i="14"/>
  <c r="G12" i="14"/>
  <c r="C19" i="14"/>
  <c r="D19" i="14"/>
  <c r="E19" i="14"/>
  <c r="F19" i="14"/>
  <c r="B19" i="14"/>
  <c r="G9" i="14"/>
  <c r="G10" i="14"/>
  <c r="G8" i="14"/>
  <c r="C11" i="14"/>
  <c r="D11" i="14"/>
  <c r="E11" i="14"/>
  <c r="F11" i="14"/>
  <c r="F20" i="14" s="1"/>
  <c r="B11" i="14"/>
  <c r="B20" i="14" s="1"/>
  <c r="G11" i="13"/>
  <c r="G12" i="13"/>
  <c r="G13" i="13"/>
  <c r="G16" i="13"/>
  <c r="G17" i="13"/>
  <c r="G15" i="13"/>
  <c r="C18" i="13"/>
  <c r="D18" i="13"/>
  <c r="E18" i="13"/>
  <c r="F18" i="13"/>
  <c r="B18" i="13"/>
  <c r="C14" i="13"/>
  <c r="D14" i="13"/>
  <c r="E14" i="13"/>
  <c r="E19" i="13" s="1"/>
  <c r="F14" i="13"/>
  <c r="B14" i="13"/>
  <c r="I7" i="12"/>
  <c r="I8" i="12"/>
  <c r="I9" i="12"/>
  <c r="I6" i="12"/>
  <c r="C10" i="12"/>
  <c r="D10" i="12"/>
  <c r="E10" i="12"/>
  <c r="F10" i="12"/>
  <c r="G10" i="12"/>
  <c r="H10" i="12"/>
  <c r="C20" i="14" l="1"/>
  <c r="D25" i="34"/>
  <c r="D20" i="35"/>
  <c r="E17" i="30"/>
  <c r="E10" i="15"/>
  <c r="F13" i="16"/>
  <c r="E20" i="14"/>
  <c r="E22" i="15"/>
  <c r="D20" i="14"/>
  <c r="D24" i="15"/>
  <c r="C23" i="16"/>
  <c r="C24" i="15"/>
  <c r="E19" i="15"/>
  <c r="D13" i="16"/>
  <c r="B23" i="16"/>
  <c r="D22" i="16"/>
  <c r="B19" i="13"/>
  <c r="C19" i="13"/>
  <c r="G18" i="13"/>
  <c r="B24" i="15"/>
  <c r="D19" i="16"/>
  <c r="E23" i="16"/>
  <c r="D17" i="33"/>
  <c r="F19" i="13"/>
  <c r="D19" i="13"/>
  <c r="F14" i="16"/>
  <c r="F19" i="16" s="1"/>
  <c r="F23" i="16" s="1"/>
  <c r="C17" i="20"/>
  <c r="F17" i="20" s="1"/>
  <c r="F15" i="20"/>
  <c r="D12" i="24"/>
  <c r="B14" i="24"/>
  <c r="F21" i="16"/>
  <c r="F22" i="16" s="1"/>
  <c r="C14" i="24"/>
  <c r="E14" i="24" s="1"/>
  <c r="D15" i="18"/>
  <c r="D18" i="18" s="1"/>
  <c r="D29" i="49"/>
  <c r="D12" i="49"/>
  <c r="B20" i="25"/>
  <c r="D18" i="25"/>
  <c r="C20" i="25"/>
  <c r="E20" i="25" s="1"/>
  <c r="C17" i="23"/>
  <c r="E17" i="23" s="1"/>
  <c r="E15" i="23"/>
  <c r="B17" i="23"/>
  <c r="D15" i="23"/>
  <c r="D16" i="22"/>
  <c r="C18" i="22"/>
  <c r="E18" i="22" s="1"/>
  <c r="B18" i="22"/>
  <c r="D13" i="21"/>
  <c r="C15" i="21"/>
  <c r="B19" i="21"/>
  <c r="D28" i="19"/>
  <c r="C15" i="19"/>
  <c r="E15" i="19" s="1"/>
  <c r="E12" i="19"/>
  <c r="B15" i="19"/>
  <c r="D12" i="19"/>
  <c r="E15" i="20"/>
  <c r="B17" i="20"/>
  <c r="G19" i="14"/>
  <c r="G11" i="14"/>
  <c r="G14" i="13"/>
  <c r="G19" i="13" s="1"/>
  <c r="I10" i="12"/>
  <c r="C14" i="11"/>
  <c r="D14" i="11"/>
  <c r="E14" i="11"/>
  <c r="F14" i="11"/>
  <c r="G14" i="11"/>
  <c r="B14" i="11"/>
  <c r="C9" i="11"/>
  <c r="D9" i="11"/>
  <c r="E9" i="11"/>
  <c r="F9" i="11"/>
  <c r="G9" i="11"/>
  <c r="B9" i="11"/>
  <c r="C18" i="10"/>
  <c r="D18" i="10"/>
  <c r="E18" i="10"/>
  <c r="F18" i="10"/>
  <c r="G18" i="10"/>
  <c r="B18" i="10"/>
  <c r="C14" i="10"/>
  <c r="D14" i="10"/>
  <c r="E14" i="10"/>
  <c r="F14" i="10"/>
  <c r="G14" i="10"/>
  <c r="B14" i="10"/>
  <c r="B10" i="10"/>
  <c r="C10" i="10"/>
  <c r="D10" i="10"/>
  <c r="E10" i="10"/>
  <c r="F10" i="10"/>
  <c r="G10" i="10"/>
  <c r="E44" i="5"/>
  <c r="D44" i="5"/>
  <c r="E36" i="5"/>
  <c r="F36" i="5"/>
  <c r="D36" i="5"/>
  <c r="D29" i="5"/>
  <c r="E29" i="5"/>
  <c r="F29" i="5"/>
  <c r="C29" i="5"/>
  <c r="D19" i="5"/>
  <c r="E19" i="5"/>
  <c r="F19" i="5"/>
  <c r="D13" i="5"/>
  <c r="E13" i="5"/>
  <c r="E30" i="5" s="1"/>
  <c r="F13" i="5"/>
  <c r="F30" i="5" s="1"/>
  <c r="C13" i="5"/>
  <c r="E32" i="3"/>
  <c r="E33" i="3"/>
  <c r="E35" i="3" s="1"/>
  <c r="E32" i="2"/>
  <c r="D32" i="2"/>
  <c r="E28" i="2"/>
  <c r="E29" i="2" s="1"/>
  <c r="D28" i="2"/>
  <c r="D29" i="2" s="1"/>
  <c r="L35" i="1"/>
  <c r="K35" i="1"/>
  <c r="L31" i="1"/>
  <c r="K31" i="1"/>
  <c r="L24" i="1"/>
  <c r="K24" i="1"/>
  <c r="L19" i="1"/>
  <c r="K19" i="1"/>
  <c r="L16" i="1"/>
  <c r="K16" i="1"/>
  <c r="E35" i="1"/>
  <c r="G35" i="1"/>
  <c r="D35" i="1"/>
  <c r="F33" i="1"/>
  <c r="F34" i="1"/>
  <c r="F32" i="1"/>
  <c r="E31" i="1"/>
  <c r="G31" i="1"/>
  <c r="F27" i="1"/>
  <c r="F28" i="1"/>
  <c r="F29" i="1"/>
  <c r="F30" i="1"/>
  <c r="F26" i="1"/>
  <c r="F22" i="1"/>
  <c r="F21" i="1"/>
  <c r="F15" i="1"/>
  <c r="F16" i="1"/>
  <c r="F17" i="1"/>
  <c r="F18" i="1"/>
  <c r="F19" i="1"/>
  <c r="F14" i="1"/>
  <c r="F11" i="1"/>
  <c r="F12" i="1"/>
  <c r="F10" i="1"/>
  <c r="F8" i="1"/>
  <c r="F7" i="1"/>
  <c r="E20" i="1"/>
  <c r="G20" i="1"/>
  <c r="D20" i="1"/>
  <c r="E13" i="1"/>
  <c r="G13" i="1"/>
  <c r="D13" i="1"/>
  <c r="E9" i="1"/>
  <c r="G9" i="1"/>
  <c r="D9" i="1"/>
  <c r="E6" i="1"/>
  <c r="G6" i="1"/>
  <c r="D6" i="1"/>
  <c r="G20" i="14" l="1"/>
  <c r="E33" i="2"/>
  <c r="C26" i="11"/>
  <c r="D26" i="11"/>
  <c r="C30" i="5"/>
  <c r="D33" i="2"/>
  <c r="F35" i="1"/>
  <c r="F31" i="1"/>
  <c r="F9" i="1"/>
  <c r="G26" i="11"/>
  <c r="G25" i="1"/>
  <c r="G37" i="1" s="1"/>
  <c r="D23" i="16"/>
  <c r="D30" i="5"/>
  <c r="E24" i="15"/>
  <c r="F6" i="1"/>
  <c r="E21" i="10"/>
  <c r="F21" i="10"/>
  <c r="F13" i="1"/>
  <c r="E17" i="20"/>
  <c r="D25" i="1"/>
  <c r="D37" i="1" s="1"/>
  <c r="H14" i="10"/>
  <c r="H9" i="11"/>
  <c r="E25" i="1"/>
  <c r="E37" i="1" s="1"/>
  <c r="K20" i="1"/>
  <c r="K25" i="1" s="1"/>
  <c r="K37" i="1" s="1"/>
  <c r="F33" i="3"/>
  <c r="F35" i="3" s="1"/>
  <c r="F32" i="3"/>
  <c r="G21" i="10"/>
  <c r="H10" i="10"/>
  <c r="H18" i="10"/>
  <c r="D21" i="10"/>
  <c r="F26" i="11"/>
  <c r="H14" i="11"/>
  <c r="L20" i="1"/>
  <c r="L25" i="1" s="1"/>
  <c r="L37" i="1" s="1"/>
  <c r="B21" i="10"/>
  <c r="E26" i="11"/>
  <c r="C21" i="10"/>
  <c r="B26" i="11"/>
  <c r="D14" i="24"/>
  <c r="D11" i="49"/>
  <c r="D20" i="25"/>
  <c r="D17" i="23"/>
  <c r="D18" i="22"/>
  <c r="E15" i="21"/>
  <c r="C19" i="21"/>
  <c r="E19" i="21" s="1"/>
  <c r="D15" i="21"/>
  <c r="D15" i="19"/>
  <c r="F20" i="1"/>
  <c r="H26" i="11" l="1"/>
  <c r="F25" i="1"/>
  <c r="F37" i="1" s="1"/>
  <c r="H21" i="10"/>
  <c r="D10" i="49"/>
  <c r="B9" i="49"/>
  <c r="D9" i="49" s="1"/>
  <c r="D19" i="21"/>
</calcChain>
</file>

<file path=xl/sharedStrings.xml><?xml version="1.0" encoding="utf-8"?>
<sst xmlns="http://schemas.openxmlformats.org/spreadsheetml/2006/main" count="1807" uniqueCount="1251">
  <si>
    <t>REF</t>
  </si>
  <si>
    <t>ACTIF</t>
  </si>
  <si>
    <t>Note</t>
  </si>
  <si>
    <t>EXERCICE AU 31/12/N-1</t>
  </si>
  <si>
    <t>PASSIF</t>
  </si>
  <si>
    <t>EXERCICE AU 31/12/N</t>
  </si>
  <si>
    <t>BRUT</t>
  </si>
  <si>
    <t>AMORT ET DEPREC</t>
  </si>
  <si>
    <t>NET</t>
  </si>
  <si>
    <t>AA</t>
  </si>
  <si>
    <t>IMMOBILISATION DESTINEES A LA VENTE PROVENANT DE DONS ET LEGS NON ENCORE RECUES ET USUFRUIT TEMPORAIRE</t>
  </si>
  <si>
    <t>AB</t>
  </si>
  <si>
    <t>CA</t>
  </si>
  <si>
    <t>Dotation non consomptible sans droit de reprise</t>
  </si>
  <si>
    <t>Immobilsation incorporelles</t>
  </si>
  <si>
    <t>CB</t>
  </si>
  <si>
    <t>Droit d'entrée</t>
  </si>
  <si>
    <t>Dotation non consomptible avec droit de reprise</t>
  </si>
  <si>
    <t>AC</t>
  </si>
  <si>
    <t>Immoblisation corporelles et financières</t>
  </si>
  <si>
    <t>CC</t>
  </si>
  <si>
    <t>AD</t>
  </si>
  <si>
    <t>IMMOBILISATION INCORPORELLES</t>
  </si>
  <si>
    <t>CD</t>
  </si>
  <si>
    <t>Dotation consomptible</t>
  </si>
  <si>
    <t>AE</t>
  </si>
  <si>
    <t>Brevets, licences, logiciels et droits similaires</t>
  </si>
  <si>
    <t>CE</t>
  </si>
  <si>
    <t>Ecarts de réévaluation</t>
  </si>
  <si>
    <t>5F</t>
  </si>
  <si>
    <t>AF</t>
  </si>
  <si>
    <t>Autres immobilisations incorporelles</t>
  </si>
  <si>
    <t>CG</t>
  </si>
  <si>
    <t>CF</t>
  </si>
  <si>
    <t>Réserves</t>
  </si>
  <si>
    <t>AG</t>
  </si>
  <si>
    <t>Avances et accomptes versées sur immoblisations incorporelles</t>
  </si>
  <si>
    <t>Report à nouveau (+ ou-)</t>
  </si>
  <si>
    <t>AH</t>
  </si>
  <si>
    <t>CH</t>
  </si>
  <si>
    <t>Résultat net de l'exercice (excédent + ou déficit- )</t>
  </si>
  <si>
    <t>AI</t>
  </si>
  <si>
    <t>Terrains</t>
  </si>
  <si>
    <t>CI</t>
  </si>
  <si>
    <t>Subventions d'investissement</t>
  </si>
  <si>
    <t>17A</t>
  </si>
  <si>
    <t>AJ</t>
  </si>
  <si>
    <t>Batiments</t>
  </si>
  <si>
    <t>CJ</t>
  </si>
  <si>
    <t>Provisions réglementées</t>
  </si>
  <si>
    <t>AK</t>
  </si>
  <si>
    <t>Aménagements, agancements et installations</t>
  </si>
  <si>
    <t>CK</t>
  </si>
  <si>
    <t>TOTAL FONDS PROPRES ET ASSIMILES</t>
  </si>
  <si>
    <t>AL</t>
  </si>
  <si>
    <t>Matériel, mobilier et actifs biologiques</t>
  </si>
  <si>
    <t>CW</t>
  </si>
  <si>
    <t>Fonds affectés et provenant de dons et legs d'immobilisations</t>
  </si>
  <si>
    <t>17B</t>
  </si>
  <si>
    <t>AM</t>
  </si>
  <si>
    <t>Materiel de transport</t>
  </si>
  <si>
    <t>CX</t>
  </si>
  <si>
    <t>Fonds reportés</t>
  </si>
  <si>
    <t>AN</t>
  </si>
  <si>
    <t>Avances et accomptes versées sur immoblisations corporelles</t>
  </si>
  <si>
    <t>CY</t>
  </si>
  <si>
    <t>TOTAL FONDS AFFECTES ET REPORTES</t>
  </si>
  <si>
    <t>AO</t>
  </si>
  <si>
    <t>IMMOBILISATIONS CORPORELLES</t>
  </si>
  <si>
    <t>IMMOBILISATIONS FINANCIERES</t>
  </si>
  <si>
    <t>CZ</t>
  </si>
  <si>
    <t>TOTAL RESSOURCES PROPRES ET ASSIMILEES</t>
  </si>
  <si>
    <t>AX</t>
  </si>
  <si>
    <t>Titre de particiapations</t>
  </si>
  <si>
    <t>DA</t>
  </si>
  <si>
    <t>Emprunts et dettes financières</t>
  </si>
  <si>
    <t>18A</t>
  </si>
  <si>
    <t>AY</t>
  </si>
  <si>
    <t>Autres immobilisations financières</t>
  </si>
  <si>
    <t>DB</t>
  </si>
  <si>
    <t>Dettes de location-acquisition</t>
  </si>
  <si>
    <t>DC</t>
  </si>
  <si>
    <t>DD</t>
  </si>
  <si>
    <t>Provisions pour risques et charges</t>
  </si>
  <si>
    <t>TOTAL DETTES FINANCIERES ET RESSOURCES ASSIMILEES</t>
  </si>
  <si>
    <t>AZ</t>
  </si>
  <si>
    <t>TOTAL ACTIF IMMOBILISE</t>
  </si>
  <si>
    <t>DE</t>
  </si>
  <si>
    <t>TOTAL RESSOURCES STABLES</t>
  </si>
  <si>
    <t>BA</t>
  </si>
  <si>
    <t>Actif circulant HAO</t>
  </si>
  <si>
    <t>DF</t>
  </si>
  <si>
    <t>Dettes circulantes HAO</t>
  </si>
  <si>
    <t>BB</t>
  </si>
  <si>
    <t>Stocks et encours</t>
  </si>
  <si>
    <t>DG</t>
  </si>
  <si>
    <t>BC</t>
  </si>
  <si>
    <t>Fournisseurs débiteurs</t>
  </si>
  <si>
    <t>DH</t>
  </si>
  <si>
    <t>Fournisseurs</t>
  </si>
  <si>
    <t>BD</t>
  </si>
  <si>
    <t>Adhérents, clients-usagres crédteurs</t>
  </si>
  <si>
    <t xml:space="preserve">Adhérents, clients-usagers </t>
  </si>
  <si>
    <t>DI</t>
  </si>
  <si>
    <t>Autres dettes</t>
  </si>
  <si>
    <t>20 &amp; 21</t>
  </si>
  <si>
    <t>BE</t>
  </si>
  <si>
    <t>Autres créances</t>
  </si>
  <si>
    <t>BT</t>
  </si>
  <si>
    <t>TOTAL ACTIF CIRCULANT</t>
  </si>
  <si>
    <t>DV</t>
  </si>
  <si>
    <t>TOTAL PASSIF CIRCULANT</t>
  </si>
  <si>
    <t>BU</t>
  </si>
  <si>
    <t>Titres de placements</t>
  </si>
  <si>
    <t>DW</t>
  </si>
  <si>
    <t>Banques, établissements financiers et crédits de trésorerie</t>
  </si>
  <si>
    <t>BV</t>
  </si>
  <si>
    <t>Valeurs à encaisser</t>
  </si>
  <si>
    <t>BW</t>
  </si>
  <si>
    <t>Banques, établissements financiers, caisses et assimilés</t>
  </si>
  <si>
    <t>BX</t>
  </si>
  <si>
    <t>TOTAL TRESORERIE ACTIF</t>
  </si>
  <si>
    <t>DX</t>
  </si>
  <si>
    <t>TOTAL TRESORERIE PASSIF</t>
  </si>
  <si>
    <t>BY</t>
  </si>
  <si>
    <t>Ecarts de conversion-Actif</t>
  </si>
  <si>
    <t>DY</t>
  </si>
  <si>
    <t>Ecarts de conversion-passif</t>
  </si>
  <si>
    <t>BZ</t>
  </si>
  <si>
    <t>TOTAL GENERAL</t>
  </si>
  <si>
    <t>DZ</t>
  </si>
  <si>
    <t>LIBELLES</t>
  </si>
  <si>
    <t>NOTE</t>
  </si>
  <si>
    <t>RA</t>
  </si>
  <si>
    <t>Cotissations</t>
  </si>
  <si>
    <t>RB</t>
  </si>
  <si>
    <t>Dotations consomptibles transférées au compte de resultats</t>
  </si>
  <si>
    <t>RC</t>
  </si>
  <si>
    <t>Revenus liés à la générosité</t>
  </si>
  <si>
    <t>RD</t>
  </si>
  <si>
    <t>Ventes de marchandises</t>
  </si>
  <si>
    <t>RE</t>
  </si>
  <si>
    <t>Ventes de services et produits finis</t>
  </si>
  <si>
    <t>RF</t>
  </si>
  <si>
    <t>Subvention d'exploitation</t>
  </si>
  <si>
    <t>RG</t>
  </si>
  <si>
    <t>Autres produits et transferts de charges</t>
  </si>
  <si>
    <t>RH</t>
  </si>
  <si>
    <t>Reprises de provisions, dépréciations, subventions et autres reprises</t>
  </si>
  <si>
    <t>5D&amp;30</t>
  </si>
  <si>
    <t>XA</t>
  </si>
  <si>
    <t>REVENUS DESS ACTIVITES ORDINAIRES (Somme RA à RG)</t>
  </si>
  <si>
    <t>TA</t>
  </si>
  <si>
    <t>Achats de biens et services liés à l'activité</t>
  </si>
  <si>
    <t>TB</t>
  </si>
  <si>
    <t>Variation de stocks des achats de biens et services liés à l'activté</t>
  </si>
  <si>
    <t>TC</t>
  </si>
  <si>
    <t>Achats de marchandises et matières premières</t>
  </si>
  <si>
    <t>TD</t>
  </si>
  <si>
    <t>Autres achats</t>
  </si>
  <si>
    <t>TE</t>
  </si>
  <si>
    <t>Variation de stocks de marchandises, de matièeres premières et autres</t>
  </si>
  <si>
    <t>TF</t>
  </si>
  <si>
    <t>Transports</t>
  </si>
  <si>
    <t>TG</t>
  </si>
  <si>
    <t>Services exterieurs</t>
  </si>
  <si>
    <t>TH</t>
  </si>
  <si>
    <t>Impots et taxes</t>
  </si>
  <si>
    <t>TI</t>
  </si>
  <si>
    <t>Autres charges</t>
  </si>
  <si>
    <t>TJ</t>
  </si>
  <si>
    <t>Charges de personnel</t>
  </si>
  <si>
    <t>TK</t>
  </si>
  <si>
    <t>Frais financiers er charges assimilées</t>
  </si>
  <si>
    <t>TL</t>
  </si>
  <si>
    <t>Dotations aux amortisselents, aux provisions, aux dépréciations et autres</t>
  </si>
  <si>
    <t>XB</t>
  </si>
  <si>
    <t>XC</t>
  </si>
  <si>
    <t>RESULTATS DES ACTIVITES ORDINAIRES ( XA - XB)</t>
  </si>
  <si>
    <t>TM</t>
  </si>
  <si>
    <t>Produits H.A.O.</t>
  </si>
  <si>
    <t>TN</t>
  </si>
  <si>
    <t>Charges H.A.O.</t>
  </si>
  <si>
    <t>XD</t>
  </si>
  <si>
    <t>RESULTATS H.AO. (TM -TN)</t>
  </si>
  <si>
    <t>XE</t>
  </si>
  <si>
    <t>ZA</t>
  </si>
  <si>
    <t>A</t>
  </si>
  <si>
    <t>Flux de trésorerie provenant des activités opérationnelles</t>
  </si>
  <si>
    <t>FA</t>
  </si>
  <si>
    <t xml:space="preserve"> + Encaissement des cotisations</t>
  </si>
  <si>
    <t>FB</t>
  </si>
  <si>
    <t xml:space="preserve"> + Encaissement des subventions d'exploitation et d'équilibre</t>
  </si>
  <si>
    <t>FC</t>
  </si>
  <si>
    <t xml:space="preserve"> + Encaissement des revenus liés à la générosité</t>
  </si>
  <si>
    <t>FD</t>
  </si>
  <si>
    <t xml:space="preserve"> + Encaissement des revenus des manifestations</t>
  </si>
  <si>
    <t>FE</t>
  </si>
  <si>
    <t xml:space="preserve"> + Encaissement des autres revenus</t>
  </si>
  <si>
    <t>FF</t>
  </si>
  <si>
    <t xml:space="preserve"> - Décaissement des sommes versées aux fournisseurs (1)</t>
  </si>
  <si>
    <t>FG</t>
  </si>
  <si>
    <t xml:space="preserve"> - Décaissement des sommes versées aux personnel</t>
  </si>
  <si>
    <t>ZB</t>
  </si>
  <si>
    <t>Flux de trésorerie provenant des activités opérationnelles (somme FA à FH)</t>
  </si>
  <si>
    <t>B</t>
  </si>
  <si>
    <t>Flux de trésorerie provenant des activités d'investissements</t>
  </si>
  <si>
    <t>FI</t>
  </si>
  <si>
    <t xml:space="preserve"> - Décaissements liés aux acquisitions d'immobisations incorporelles et corporelles</t>
  </si>
  <si>
    <t>FJ</t>
  </si>
  <si>
    <t xml:space="preserve"> - Décaissements liés aux acquisitions d'immobisations financères</t>
  </si>
  <si>
    <t>FK</t>
  </si>
  <si>
    <t xml:space="preserve"> + Encaissements liés aux cessions d'immobilisations incorporelles et corporelles</t>
  </si>
  <si>
    <t>FL</t>
  </si>
  <si>
    <t xml:space="preserve"> + Encaissements liés aux cessions d'immobilisations financières</t>
  </si>
  <si>
    <t>ZC</t>
  </si>
  <si>
    <t>C</t>
  </si>
  <si>
    <t>Flux de trésorerie provenant du financement par les fonds propres</t>
  </si>
  <si>
    <t>FM</t>
  </si>
  <si>
    <t xml:space="preserve"> + Encaissemen des dotations et autres fonds propres</t>
  </si>
  <si>
    <t>FN</t>
  </si>
  <si>
    <t xml:space="preserve"> + Subventions d'investissement reçues</t>
  </si>
  <si>
    <t>FO</t>
  </si>
  <si>
    <t xml:space="preserve"> - Décaissement des dotations et autres fonds propres</t>
  </si>
  <si>
    <t>ZD</t>
  </si>
  <si>
    <t xml:space="preserve">  Flux de trésorerie provenant des fonds propres (somme FM à FO)</t>
  </si>
  <si>
    <t>D</t>
  </si>
  <si>
    <t>Trésorerie provenant du financement par les fonds étrangers</t>
  </si>
  <si>
    <t>FP</t>
  </si>
  <si>
    <t xml:space="preserve"> +Encaissement provenant des emprunts et des autres dettes financères</t>
  </si>
  <si>
    <t>FQ</t>
  </si>
  <si>
    <t xml:space="preserve"> - Remboursements des emprunts et autres dettes financières</t>
  </si>
  <si>
    <t>ZE</t>
  </si>
  <si>
    <t xml:space="preserve">Trésorerie provenant des fonds étrangers (somme FP à FQ) </t>
  </si>
  <si>
    <t>E</t>
  </si>
  <si>
    <t>Flux de trésorerie provenant des activités de financement (D+E)</t>
  </si>
  <si>
    <t>ZF</t>
  </si>
  <si>
    <t>VARIATION DE LA TRESORERIE NETTE DE LA                                 PERIODE ( B+C+D+E)</t>
  </si>
  <si>
    <t>G</t>
  </si>
  <si>
    <t>ZG</t>
  </si>
  <si>
    <t>H</t>
  </si>
  <si>
    <t>(1) à l'exclusion des fournisseurs d'investissements.</t>
  </si>
  <si>
    <t>NOTES</t>
  </si>
  <si>
    <t>INTITULES</t>
  </si>
  <si>
    <t>N/A</t>
  </si>
  <si>
    <t>Partie 1: Informations générales</t>
  </si>
  <si>
    <t>Note 1</t>
  </si>
  <si>
    <t>Note 2</t>
  </si>
  <si>
    <t>Informations obligatoires</t>
  </si>
  <si>
    <t>Note 3</t>
  </si>
  <si>
    <t xml:space="preserve">Evènements postérieurs à la cloture de l'exercice </t>
  </si>
  <si>
    <t>Note 4</t>
  </si>
  <si>
    <t>Changements de méthodes comptables, d'estimations et corrections d'erreurs</t>
  </si>
  <si>
    <t>Partie 2 : Notes sur bilan</t>
  </si>
  <si>
    <t>Note 5A</t>
  </si>
  <si>
    <t>Dons et legs d'immobilisations non reçus destinés à la vente et usufruit temporaire</t>
  </si>
  <si>
    <t>Note 5B</t>
  </si>
  <si>
    <t>Immobilisations brutes</t>
  </si>
  <si>
    <t>Note 5C</t>
  </si>
  <si>
    <t>Biens pris en location - acquisition</t>
  </si>
  <si>
    <t>Note 5D</t>
  </si>
  <si>
    <t>Dons et legs d'immobilisations non reçus destinés à la vente et usufruit temporaire (amortissements et dépréciations)</t>
  </si>
  <si>
    <t>Note 5E</t>
  </si>
  <si>
    <t>Immobilisations : Amortissements</t>
  </si>
  <si>
    <t>Note 5F</t>
  </si>
  <si>
    <t>Immobilisations : Dépréciations</t>
  </si>
  <si>
    <t>Note 5G</t>
  </si>
  <si>
    <t>Immobilisation : Plus-values et moins-values de cession</t>
  </si>
  <si>
    <t>Note 5H</t>
  </si>
  <si>
    <t>Informations sur les réevaluations effectuées par l'entité</t>
  </si>
  <si>
    <t>Note 6</t>
  </si>
  <si>
    <t>Immobilisations financières</t>
  </si>
  <si>
    <t>Note 7</t>
  </si>
  <si>
    <t>Actif circulant et dettes circulantes HAO</t>
  </si>
  <si>
    <t>Note 8</t>
  </si>
  <si>
    <t>Note 9</t>
  </si>
  <si>
    <t>Adhérents, clients-usagers</t>
  </si>
  <si>
    <t>Note 10</t>
  </si>
  <si>
    <t>Note 11</t>
  </si>
  <si>
    <t>Titres de placement</t>
  </si>
  <si>
    <t>Note 12</t>
  </si>
  <si>
    <t>Note 13</t>
  </si>
  <si>
    <t xml:space="preserve">Disponibilités </t>
  </si>
  <si>
    <t>Note 14</t>
  </si>
  <si>
    <t>Ecarts de conversion</t>
  </si>
  <si>
    <t>Note 15</t>
  </si>
  <si>
    <t>Dotation</t>
  </si>
  <si>
    <t>Note 16</t>
  </si>
  <si>
    <t>Note 17A</t>
  </si>
  <si>
    <t>Subventions et provisions règlementées</t>
  </si>
  <si>
    <t>Note 17B</t>
  </si>
  <si>
    <t>Fonds affectés et reportés</t>
  </si>
  <si>
    <t>Note 18A</t>
  </si>
  <si>
    <t>Dettes financières et ressources assimilées</t>
  </si>
  <si>
    <t>Note 18B</t>
  </si>
  <si>
    <t>Actifs et passifs éventuels</t>
  </si>
  <si>
    <t>Note 19</t>
  </si>
  <si>
    <t>Fournisseurs d'exploitation</t>
  </si>
  <si>
    <t>Note 20</t>
  </si>
  <si>
    <t>Dettes fiscales et sociales</t>
  </si>
  <si>
    <t>Note 21</t>
  </si>
  <si>
    <t>Autres dettes et provisions pour risques et charges à court terme</t>
  </si>
  <si>
    <t>Note 22</t>
  </si>
  <si>
    <t>Banques, crédit d'escompte et de trésorerie</t>
  </si>
  <si>
    <t>Partie 3 : Notes sur le compte de résultat</t>
  </si>
  <si>
    <t>Note 23</t>
  </si>
  <si>
    <t>Revenus et autres produits</t>
  </si>
  <si>
    <t>Note 24</t>
  </si>
  <si>
    <t>Achats</t>
  </si>
  <si>
    <t>Note 25</t>
  </si>
  <si>
    <t>Note 26</t>
  </si>
  <si>
    <t>Services extérieurs</t>
  </si>
  <si>
    <t>Note 27</t>
  </si>
  <si>
    <t>Note 28</t>
  </si>
  <si>
    <t>Note 29A</t>
  </si>
  <si>
    <t>Note 29B</t>
  </si>
  <si>
    <t>Effectifs, masse salariale et personnel extérieur</t>
  </si>
  <si>
    <t>Note 30</t>
  </si>
  <si>
    <t>Dotations et charges pour provisions et dépréciations</t>
  </si>
  <si>
    <t>Note 31</t>
  </si>
  <si>
    <t>Charges et revenus financiers</t>
  </si>
  <si>
    <t>Note 32</t>
  </si>
  <si>
    <t>Autres charges et produits HAO</t>
  </si>
  <si>
    <t>Partie 4 : Autres informations</t>
  </si>
  <si>
    <t>Note 33</t>
  </si>
  <si>
    <t>Fiche de synthèsse des principaux indicateurs financiers</t>
  </si>
  <si>
    <t>Note 34</t>
  </si>
  <si>
    <t>Liste des informations sociales, environnementales et sociétales</t>
  </si>
  <si>
    <t>Note 35</t>
  </si>
  <si>
    <t>Tableau d'exécution budgétaire</t>
  </si>
  <si>
    <t>(1) les Notes non documentées ne doivent pas être jointes aux états financiers. Leurcontenu peut être amélioré par</t>
  </si>
  <si>
    <t>les entités. Par ailleurs, dans une note , les lignes non chiffrées doivent être supprimées. Par exemple, dans la Note</t>
  </si>
  <si>
    <t>26 Services extérieurs, lorsque la ligne sous-traitance générale n'est pas chiffrée, elle ne doit pas figurer dans cette</t>
  </si>
  <si>
    <t>note.</t>
  </si>
  <si>
    <t>A : Applicable                       N/A : Non applicable.</t>
  </si>
  <si>
    <t>Par exemple pour une entité qui n'a pas de stoks et en-cours, elle doit cocher à l'intersection ('ligne  "NOTE6" &amp;</t>
  </si>
  <si>
    <t>"colonne N/A")</t>
  </si>
  <si>
    <t>Libellés</t>
  </si>
  <si>
    <t>Montant brut (1)</t>
  </si>
  <si>
    <t>SURETES REELLES (2)</t>
  </si>
  <si>
    <t>Hypothèques</t>
  </si>
  <si>
    <t>Nantissements</t>
  </si>
  <si>
    <t>Gages/</t>
  </si>
  <si>
    <t>Autres</t>
  </si>
  <si>
    <t>Emprunts et dettes financières diverses :</t>
  </si>
  <si>
    <t>Emprunts obligataires</t>
  </si>
  <si>
    <t>Emprunts et dettes des établissements de crédit</t>
  </si>
  <si>
    <t>Autres dettes financières</t>
  </si>
  <si>
    <t>SOUS TOTAL  (1)</t>
  </si>
  <si>
    <t>Dettes de location-acquisition :</t>
  </si>
  <si>
    <t>Dettes de crédit-bail immobilier</t>
  </si>
  <si>
    <t>Dettes de crédit-bail mobilier</t>
  </si>
  <si>
    <t>Dettes sur contrats de location-vente</t>
  </si>
  <si>
    <t>Autres dettes sur contrats de location-acquisition</t>
  </si>
  <si>
    <t>SOUS TOTAL  (2)</t>
  </si>
  <si>
    <t>Dettes du passif circulant :</t>
  </si>
  <si>
    <t>Fournisseurs et comptes rattachés</t>
  </si>
  <si>
    <t>Adhérents, clients-usagers créditeurs</t>
  </si>
  <si>
    <t>Personnel</t>
  </si>
  <si>
    <t>Organismes</t>
  </si>
  <si>
    <t>Etat et collectivités</t>
  </si>
  <si>
    <t>Fondateurs, apporteurs et comptes rattachés</t>
  </si>
  <si>
    <t>Bailleurs, Etat et autres organismes, fonds d'administration</t>
  </si>
  <si>
    <t>Crédit divers</t>
  </si>
  <si>
    <t>SOUS TOTAL (3)</t>
  </si>
  <si>
    <t>TOTAL (1)+ (2)+ (3)</t>
  </si>
  <si>
    <t>ENGAGEMENTS FINANCIERS</t>
  </si>
  <si>
    <t>Engagements reciproques</t>
  </si>
  <si>
    <t>Engagements donnés</t>
  </si>
  <si>
    <t>Engagements reçus</t>
  </si>
  <si>
    <t>Avals, cautions, garanties</t>
  </si>
  <si>
    <t>Hypothèques, nantissement, gages, autres</t>
  </si>
  <si>
    <t>Effets escomptés non échus</t>
  </si>
  <si>
    <t>TOTAL</t>
  </si>
  <si>
    <t>CONTRIBUTION VOLONTAIRES EN NATURE</t>
  </si>
  <si>
    <t>Ressources</t>
  </si>
  <si>
    <t>Emplois</t>
  </si>
  <si>
    <t>Dons en nature</t>
  </si>
  <si>
    <t>Secours en nature</t>
  </si>
  <si>
    <t>Mises à disposition gratuite des biens</t>
  </si>
  <si>
    <t>Prestations en nature</t>
  </si>
  <si>
    <t>Personnel bénévole</t>
  </si>
  <si>
    <t>Commentaire :</t>
  </si>
  <si>
    <t xml:space="preserve">        •           Indiquer la raison d'être des sûretés   </t>
  </si>
  <si>
    <t xml:space="preserve">        •           Pour les contributions volontaires, faites une évaluation à la valeur actuelle.</t>
  </si>
  <si>
    <t>A - IDENTITE, ORGANISATION</t>
  </si>
  <si>
    <t>L'entité doit</t>
  </si>
  <si>
    <t xml:space="preserve"> - décrire brièvement l'identité de l'entité (date de création, nature du projet associatif, activité ou mission réaliséé)</t>
  </si>
  <si>
    <t xml:space="preserve"> - décrire brièvement l'organisation de l'entité avec des données chiffrées (effectifs, nombre de bénévoles, total des revenus, moyens utilisés)</t>
  </si>
  <si>
    <t>C- REGLES, METHODES COMPTABLES ET DEROGATION AUX PRINCIPES COMPTABLES</t>
  </si>
  <si>
    <t>D- INFORMATIONS COMPLEMENTAIRES RELATIVES AU BILAN, AU COMPTE DE RESULTAT ET AU TABLEAU DES FLUX DE TRESORERIE</t>
  </si>
  <si>
    <t>Organe ayant autorisé la publication des comptes : …………………………………………….</t>
  </si>
  <si>
    <t>Indiquer la nature des événemebts postérieurs à la clôture donnant lieu à des ajustements des états financiers</t>
  </si>
  <si>
    <t>Pour chaque événements, donnez des précisions sur les comptes qui ont fait l'objet d'un ajustement.</t>
  </si>
  <si>
    <t>C-EVENEMENTS REMETTANT EN CAUSE L'HYPOTHESE DE BASE DE CONTINUITE DE L'EXPLOITATION</t>
  </si>
  <si>
    <t>COMMENTAIRE:</t>
  </si>
  <si>
    <t>Indiquer la nature de l'événement(ou des événements ) ayant entrainé la remise en cause de la continuité d'exploitation</t>
  </si>
  <si>
    <t>Donner des précisions sur les valeurs liquidatives retenues</t>
  </si>
  <si>
    <t>A- EVENEMENTS POSTERIEURS A LA DATE DE CLOTURE DONNANT LIEU A DES AJUSTEMENTS DES ETATS FINANCIERS</t>
  </si>
  <si>
    <t>Commentaire:</t>
  </si>
  <si>
    <t>Procéder à une estimation de l'impact financier de chaque événement ou l'indication que cette estimation ne peut être fournie.</t>
  </si>
  <si>
    <t xml:space="preserve">Commentaire :  </t>
  </si>
  <si>
    <t>A – CHANGEMENTS DE METHODES COMPTABLES</t>
  </si>
  <si>
    <t xml:space="preserve">1.     Changement de réglementation comptable </t>
  </si>
  <si>
    <t xml:space="preserve">2.     Changement de méthode comptable à l’initiative de l’entité </t>
  </si>
  <si>
    <t xml:space="preserve"> </t>
  </si>
  <si>
    <t xml:space="preserve">B – CHANGEMENTS D’ESTIMATIONS </t>
  </si>
  <si>
    <t>C – CORRECTIONS D’ERREURS</t>
  </si>
  <si>
    <t xml:space="preserve">Commentaire : </t>
  </si>
  <si>
    <t>●      L’entité doit présenter les principaux postes des exercices antérieurs présentés, retraités selon la nouvelle méthode en cas de changement de réglementation comptable appliqué de manière rétrospective ;</t>
  </si>
  <si>
    <t>●      L’entité doit indiquer l’impact du changement sur les principaux postes concernés de l’exercice en cas de changement de réglementation comptable appliqué de manière prospective.</t>
  </si>
  <si>
    <t>●      L’entité doit indiquer et justifier le changement de méthode comptable ;</t>
  </si>
  <si>
    <t>●      L’entité doit indiquer l’impact du changement de méthode comptable déterminé à l’ouverture en précisant les postes concernés ;</t>
  </si>
  <si>
    <t>●      L’entité doit présenter les principaux postes des exercices antérieurs présentés, retraités selon la   nouvelle méthode en cas de changement de méthode comptable appliqué de manière rétrospective ;</t>
  </si>
  <si>
    <t>●      L’entité doit indiquer les raisons d’une application prospective et l’impact du changement sur les principaux postes concernés de l’exercice en cas de changement de méthode comptable appliqué de manière prospective.</t>
  </si>
  <si>
    <t>●     L’entité doit présenter les principaux postes des exercices antérieurs présentés, corrigés des erreurs d’un exercice antérieur.</t>
  </si>
  <si>
    <t>AUGMENTATIONS B</t>
  </si>
  <si>
    <t>DIMUNITIONS C</t>
  </si>
  <si>
    <t>D = A + B - C</t>
  </si>
  <si>
    <t>RUBRIQUES</t>
  </si>
  <si>
    <t>MONTANT BRUT A L'OUVERTURE DE L'EXERCICE</t>
  </si>
  <si>
    <t>Acquisitions Apports Créations</t>
  </si>
  <si>
    <t>Virements de poste à poste</t>
  </si>
  <si>
    <t>Suite à une réévaluation pratiquée au cours de l'exercice</t>
  </si>
  <si>
    <t>Cession Scissions Hors service</t>
  </si>
  <si>
    <t>MONTANT BRUT A LA CLOTURE DE L'EXERCICE</t>
  </si>
  <si>
    <t xml:space="preserve"> IMMOBILISATIONS INCORPORELLES</t>
  </si>
  <si>
    <t>Usufruit</t>
  </si>
  <si>
    <t>Brevets, licences, et droits similaires</t>
  </si>
  <si>
    <t>Autres immobilisations incorporels</t>
  </si>
  <si>
    <t>IMMOBILISATIONS INCORPORELLES</t>
  </si>
  <si>
    <t xml:space="preserve">Bâtiments </t>
  </si>
  <si>
    <t>Matériels et mobiliers</t>
  </si>
  <si>
    <t xml:space="preserve"> IMMOBILISATIONS FINANCIERES</t>
  </si>
  <si>
    <t>Titres de participations</t>
  </si>
  <si>
    <t>SITUATIONS ET MOUVEMENTS</t>
  </si>
  <si>
    <t>AUGEMENTATIONS B</t>
  </si>
  <si>
    <t>DIMINUTIONS C</t>
  </si>
  <si>
    <t>D=A+B-C</t>
  </si>
  <si>
    <t>Acquisitions Apports créations</t>
  </si>
  <si>
    <t>Cessions Scissions Hors service</t>
  </si>
  <si>
    <t>Logiciels et sites internet</t>
  </si>
  <si>
    <t>Avances et acomptes sur immobilisations incorporelles</t>
  </si>
  <si>
    <t>Terrains hors immeuble de placement</t>
  </si>
  <si>
    <t>Terrains-immeuble de placement</t>
  </si>
  <si>
    <t>Batiments hors immeuble de placement</t>
  </si>
  <si>
    <t>Batiments  immeuble de placement</t>
  </si>
  <si>
    <t>Aménagements,agencements et installations</t>
  </si>
  <si>
    <t>Matériel,mobilier et actifs biologiques</t>
  </si>
  <si>
    <t>Matériel de transport</t>
  </si>
  <si>
    <t>Avances et acomptes sur immobilisations corporelles</t>
  </si>
  <si>
    <t>Titres de participation</t>
  </si>
  <si>
    <t>Matériels de transport</t>
  </si>
  <si>
    <t xml:space="preserve"> TOTAL IMMOBILISATIONS EN LOCATION-ACQUISITION</t>
  </si>
  <si>
    <t>E=A+B-C-D</t>
  </si>
  <si>
    <t>Dimunitions :</t>
  </si>
  <si>
    <t>Augmentations:Dotations de l'exercice</t>
  </si>
  <si>
    <t>Amortissements et dépréciations relatifs aux éléments sortis de l'actif</t>
  </si>
  <si>
    <t>Reprises amortissements et dépréciations</t>
  </si>
  <si>
    <t>Virement de poste à poste</t>
  </si>
  <si>
    <t>Cumuls des amortissements et dépréciations à la cloture de l' exercice</t>
  </si>
  <si>
    <t xml:space="preserve"> SOUS TOTAL:IMMOBILISATIONS INCORPORELLES</t>
  </si>
  <si>
    <t>Matériel,mobilier</t>
  </si>
  <si>
    <t>Brevets,liences, logiciels,et similaires</t>
  </si>
  <si>
    <t>SOUS TOTAL:IMMOBILISATIONS CORPORELLES</t>
  </si>
  <si>
    <t xml:space="preserve">           SITUATIONS ET MOUVEMENTS</t>
  </si>
  <si>
    <t>E= A+ B - C-D</t>
  </si>
  <si>
    <t>Amortissements cumulés à l'ouverture de l'exercice</t>
  </si>
  <si>
    <t>Augmentation: Dotations de l'exercice</t>
  </si>
  <si>
    <t>Diminutions:</t>
  </si>
  <si>
    <t>Cumuls des amortissements à la cloture de l'exercice</t>
  </si>
  <si>
    <t>Amortissements relatifs aux élements sortis de l'actif</t>
  </si>
  <si>
    <t>Reprises amortissements</t>
  </si>
  <si>
    <t>SOUS TOTAL: IMMOBILISATIONS INCORPORELLES</t>
  </si>
  <si>
    <t>Terrains-immeuble de placements</t>
  </si>
  <si>
    <t>Bâtiments hors immeubles de placement</t>
  </si>
  <si>
    <t>Bâtiments immeubles de placement</t>
  </si>
  <si>
    <t>Aménagements, agencements et installations</t>
  </si>
  <si>
    <t>Matériels, mobilier et actifs biologiques</t>
  </si>
  <si>
    <t>SOUS TOTAL: IMMOBILISATIONS CORPORELLES</t>
  </si>
  <si>
    <t>DEPRECIATIONS CUMULES A L'OUVERTURE DE L'EXERCICE</t>
  </si>
  <si>
    <t>AUGMENTATIONS: DOTATIONS DE L'EXERCICE</t>
  </si>
  <si>
    <t>DIMINUTIONS: REPRISES DE L'EXERCICE</t>
  </si>
  <si>
    <t>CUMUL DES DEPRECIATIONS A LA CLOTURE DE L'EXERCICE</t>
  </si>
  <si>
    <t>Avances et accomptes sur immobilisations incorporelles</t>
  </si>
  <si>
    <t>Terrains hors immeuble</t>
  </si>
  <si>
    <t>Avances et accomptes sur immobilisations corporelles</t>
  </si>
  <si>
    <t>SOUS TOTAL : IMMOBILISATION FINANCIERES</t>
  </si>
  <si>
    <t>TOTAL DES IMMOBILISATIONS DEPRECIEES</t>
  </si>
  <si>
    <t xml:space="preserve">   Indiquer les événements et circonstances qui ont conduit à la dépréciation et à la reprise.</t>
  </si>
  <si>
    <t>Montant brut                A</t>
  </si>
  <si>
    <t>Amortissements pratiqués                    B</t>
  </si>
  <si>
    <t>Valeur comptable  nette           C= A - B</t>
  </si>
  <si>
    <t>Prix         de      cession          D</t>
  </si>
  <si>
    <t>Plus-value ou moins-value E = D - C</t>
  </si>
  <si>
    <t xml:space="preserve">Terrains </t>
  </si>
  <si>
    <t>Bâtiments</t>
  </si>
  <si>
    <t>Nature et date des réévaluations:</t>
  </si>
  <si>
    <t xml:space="preserve">Eléments réévalués par postes du bilan </t>
  </si>
  <si>
    <t xml:space="preserve">Montants en couts historiques </t>
  </si>
  <si>
    <t>Montants réévalués</t>
  </si>
  <si>
    <t>Ecarts et provisions spéciales réévaluation</t>
  </si>
  <si>
    <t>Méhode de réévaluation utilsée:</t>
  </si>
  <si>
    <t>Taitement fiscal de l'écart de réévaluation et des amortissements supplémentaires :</t>
  </si>
  <si>
    <t>Montant de l'écart incorporée à la dotation:</t>
  </si>
  <si>
    <t>Année N</t>
  </si>
  <si>
    <t>Année N-1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</si>
  <si>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</si>
  <si>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</si>
  <si>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</si>
  <si>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</si>
  <si>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</si>
  <si>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</si>
  <si>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l’Etat</t>
  </si>
  <si>
    <t xml:space="preserve">Titres immobilisés </t>
  </si>
  <si>
    <t>Dépôts et cautionnements</t>
  </si>
  <si>
    <t>Intérêts courus</t>
  </si>
  <si>
    <t>Immobilisations financières diverses</t>
  </si>
  <si>
    <t>TOTAL BRUT</t>
  </si>
  <si>
    <t>Dépréciations des autres immobilisations financières</t>
  </si>
  <si>
    <t>Commentaire :</t>
  </si>
  <si>
    <t xml:space="preserve">     TOTAL NET DE DEPRECIATIONS</t>
  </si>
  <si>
    <t>ACTIF CIRCULANT HAO</t>
  </si>
  <si>
    <t>Variation en</t>
  </si>
  <si>
    <t>valeur</t>
  </si>
  <si>
    <t>%</t>
  </si>
  <si>
    <t>Créances sur cessions d’immobilisations</t>
  </si>
  <si>
    <t xml:space="preserve">Créances reçues par dons et legs d’immobilisations </t>
  </si>
  <si>
    <t>Autres créances hors activités ordinaires</t>
  </si>
  <si>
    <t>Dépréciations des créances HAO</t>
  </si>
  <si>
    <t>TOTAL NET DES DEPRECIATIONS</t>
  </si>
  <si>
    <t>DETTES CIRCULANTES HAO</t>
  </si>
  <si>
    <t>Dettes des dons et legs d’immobilisations</t>
  </si>
  <si>
    <t>Créditeurs, dons nature HAO non consommés</t>
  </si>
  <si>
    <t>Autres dettes hors activités ordinaires</t>
  </si>
  <si>
    <t>Commentaires :</t>
  </si>
  <si>
    <t>Variation de stocks en valeur absolue</t>
  </si>
  <si>
    <t>Biens et services liés à l’activité</t>
  </si>
  <si>
    <t>Marchandises, Matières premières</t>
  </si>
  <si>
    <t>Autres approvisionnements</t>
  </si>
  <si>
    <t>Produits finis</t>
  </si>
  <si>
    <t>Dons en nature HAO</t>
  </si>
  <si>
    <t>Dépréciations des stocks</t>
  </si>
  <si>
    <t>Autres stocks HAO</t>
  </si>
  <si>
    <t>TOTAL STOCKS ET ENCOURS</t>
  </si>
  <si>
    <t>(1)    Les stocks H.A.O. ne doivent être inscrits dans l'actif circulant H.A.O. que lorsque leur montant total est significatif (supérieur à 5 % du total de l'actif circulant).</t>
  </si>
  <si>
    <t>Adhérents</t>
  </si>
  <si>
    <t>Clients usagers</t>
  </si>
  <si>
    <t>Adhérents, clients-usagers, chèques, effets et autres valeurs impayés</t>
  </si>
  <si>
    <t>Adhérents, créances litigieuses ou douteuses</t>
  </si>
  <si>
    <t>Adhérents, clients-usagers, produits à recevoir</t>
  </si>
  <si>
    <t>TOTAL BRUT ADHERENTS CLIENTS-USAGERS</t>
  </si>
  <si>
    <t>Dépréciations des comptes adhérents et clients-usagers </t>
  </si>
  <si>
    <t>TOTAL NET DS DEPRECIATIONS</t>
  </si>
  <si>
    <t>Adhérents, avances reçues</t>
  </si>
  <si>
    <t>Clients-usagers, avances et acomptes reçues</t>
  </si>
  <si>
    <t>Autres clients créditeurs</t>
  </si>
  <si>
    <t>TOTAL CLIENTS CREDITEURS</t>
  </si>
  <si>
    <t>Dettes à un an au plus</t>
  </si>
  <si>
    <t>Dettes à plus d'un an et à deux ans au plus</t>
  </si>
  <si>
    <t>Dettes à plus de deux ans</t>
  </si>
  <si>
    <t>Organismes sociaux</t>
  </si>
  <si>
    <t>Etat et collectivités publiques</t>
  </si>
  <si>
    <t>Fondateurs, apporteurs et comptes courants</t>
  </si>
  <si>
    <t>Débiteurs divers</t>
  </si>
  <si>
    <t>Aures débiteurs divers</t>
  </si>
  <si>
    <t>Dépréciations et autres créances</t>
  </si>
  <si>
    <t>TOTAL NET DE DEPRECIATIONS</t>
  </si>
  <si>
    <t>Commentaires:</t>
  </si>
  <si>
    <t>AnnéeN-1</t>
  </si>
  <si>
    <t>Titres de trésor et bons de caisse à court terme</t>
  </si>
  <si>
    <t>Actions</t>
  </si>
  <si>
    <t>Obligations</t>
  </si>
  <si>
    <t>Bons de souscription</t>
  </si>
  <si>
    <t>Titres négociables hors régions</t>
  </si>
  <si>
    <t>Intérets courus</t>
  </si>
  <si>
    <t>Autres valeurs assimilés</t>
  </si>
  <si>
    <t>Dépréciations des titres de placement</t>
  </si>
  <si>
    <r>
      <t xml:space="preserve">●        </t>
    </r>
    <r>
      <rPr>
        <i/>
        <sz val="10"/>
        <color theme="1"/>
        <rFont val="Times New Roman"/>
        <family val="1"/>
      </rPr>
      <t>Justifier toute variation significative ;</t>
    </r>
  </si>
  <si>
    <r>
      <t xml:space="preserve">●          </t>
    </r>
    <r>
      <rPr>
        <i/>
        <sz val="10"/>
        <color theme="1"/>
        <rFont val="Times New Roman"/>
        <family val="1"/>
      </rPr>
      <t>Détailler les créances dont le montant est significatif ;</t>
    </r>
  </si>
  <si>
    <r>
      <t xml:space="preserve">●          </t>
    </r>
    <r>
      <rPr>
        <i/>
        <sz val="10"/>
        <color theme="1"/>
        <rFont val="Times New Roman"/>
        <family val="1"/>
      </rPr>
      <t>Justifier les créances anciennes ;</t>
    </r>
  </si>
  <si>
    <r>
      <t xml:space="preserve">●          </t>
    </r>
    <r>
      <rPr>
        <i/>
        <sz val="10"/>
        <color theme="1"/>
        <rFont val="Times New Roman"/>
        <family val="1"/>
      </rPr>
      <t xml:space="preserve">Indiquer les évènements et les circonstances qui ont conduit à la dépréciation et à la reprise. </t>
    </r>
  </si>
  <si>
    <t>•   Indiquer les évenementd et circinstances qui ont conduit à la dérécation des reprises</t>
  </si>
  <si>
    <t>•   Faire resssortir les actions ou les parts propres et indiquer la date d'acquisition , le nombre de titres détenues</t>
  </si>
  <si>
    <t xml:space="preserve">•   Pour les titres côtés à une bourse de valeur : indiquer le nombre, le prix unitaire d'acquisition et le cours en bourse au 31 décembre </t>
  </si>
  <si>
    <t>•    Justifier toute variation significative</t>
  </si>
  <si>
    <t>Autres valeurs à encaisser</t>
  </si>
  <si>
    <t>Dépréciations des valeurs à encaisser</t>
  </si>
  <si>
    <t>Chèques à encaisser</t>
  </si>
  <si>
    <t>Chèques à l'encaissement</t>
  </si>
  <si>
    <t>• Commenter toute variation significative;</t>
  </si>
  <si>
    <t>• Indiquer les évènements et les circonstances qui ont conduit à la dépréciation et à la reprise.</t>
  </si>
  <si>
    <t>Banques locales</t>
  </si>
  <si>
    <t>Banques autres états région</t>
  </si>
  <si>
    <t>Banques, dépôts à terme</t>
  </si>
  <si>
    <t>Autres Banques</t>
  </si>
  <si>
    <t>Banques intérêts courus</t>
  </si>
  <si>
    <t>Banques Postales</t>
  </si>
  <si>
    <t>Autres établissements financiers</t>
  </si>
  <si>
    <t>Etablissement financiers intérêts courus</t>
  </si>
  <si>
    <t>Instruments de monnaie électronique</t>
  </si>
  <si>
    <t>Caisse</t>
  </si>
  <si>
    <t>Dépréciations</t>
  </si>
  <si>
    <t>NB: Banques et intérêts courus et établissements financiers intérêts coursus figurent dans cette rubrique en négatif si le compte principal attaché est débiteur</t>
  </si>
  <si>
    <t>Devises</t>
  </si>
  <si>
    <t>Montant en devises</t>
  </si>
  <si>
    <t>Cours UML 31/12</t>
  </si>
  <si>
    <t>Variation en valeur absolue</t>
  </si>
  <si>
    <t xml:space="preserve">Commentaire : </t>
  </si>
  <si>
    <t>Faire un commentaire</t>
  </si>
  <si>
    <r>
      <t xml:space="preserve">Ecarts de conversion-actif : </t>
    </r>
    <r>
      <rPr>
        <i/>
        <sz val="11"/>
        <color theme="1"/>
        <rFont val="Times New Roman"/>
        <family val="1"/>
      </rPr>
      <t xml:space="preserve">détailler les créances et dettes concernées </t>
    </r>
    <r>
      <rPr>
        <sz val="11"/>
        <color theme="1"/>
        <rFont val="Times New Roman"/>
        <family val="1"/>
      </rPr>
      <t xml:space="preserve">                     </t>
    </r>
  </si>
  <si>
    <r>
      <t xml:space="preserve">Ecarts de conversion-Passif: </t>
    </r>
    <r>
      <rPr>
        <i/>
        <sz val="11"/>
        <color theme="1"/>
        <rFont val="Times New Roman"/>
        <family val="1"/>
      </rPr>
      <t xml:space="preserve">détailler les créances et dettes concernées   </t>
    </r>
    <r>
      <rPr>
        <sz val="11"/>
        <color theme="1"/>
        <rFont val="Times New Roman"/>
        <family val="1"/>
      </rPr>
      <t xml:space="preserve">                   </t>
    </r>
  </si>
  <si>
    <r>
      <rPr>
        <b/>
        <i/>
        <sz val="10"/>
        <color theme="1"/>
        <rFont val="Times New Roman"/>
        <family val="1"/>
      </rPr>
      <t>UML</t>
    </r>
    <r>
      <rPr>
        <i/>
        <sz val="10"/>
        <color theme="1"/>
        <rFont val="Times New Roman"/>
        <family val="1"/>
      </rPr>
      <t xml:space="preserve"> : Unités Monétaires légales</t>
    </r>
  </si>
  <si>
    <t>Cours UML Année acquisition</t>
  </si>
  <si>
    <t>Nom et prénoms des membres</t>
  </si>
  <si>
    <t>Nationalité</t>
  </si>
  <si>
    <t>Montant</t>
  </si>
  <si>
    <t>Préciser avec ou sans droit de reprise</t>
  </si>
  <si>
    <t>Dotation non consomptible</t>
  </si>
  <si>
    <t>Valeur</t>
  </si>
  <si>
    <t>Réserves statutaires ou contractuelles</t>
  </si>
  <si>
    <t>Autres réserves</t>
  </si>
  <si>
    <t>TOTAL RESERVES</t>
  </si>
  <si>
    <t>Report à nouveau</t>
  </si>
  <si>
    <t>Régime fiscal</t>
  </si>
  <si>
    <t>Échéances</t>
  </si>
  <si>
    <t>Etat</t>
  </si>
  <si>
    <t>Région</t>
  </si>
  <si>
    <t>Département</t>
  </si>
  <si>
    <t>Communes et collectivités publiques décentralisées</t>
  </si>
  <si>
    <t>Entités publiques ou mixtes</t>
  </si>
  <si>
    <t>Entités et organismes privés</t>
  </si>
  <si>
    <t>Organismes internationaux</t>
  </si>
  <si>
    <t>Autres subventions d'investissements</t>
  </si>
  <si>
    <t>TOTAL SUBVENTIONS</t>
  </si>
  <si>
    <t>PROVISIONS REGLEMENTEES</t>
  </si>
  <si>
    <t>TOTAL SUBVENTIONS ET PROVISIONS REGLEMENTEES</t>
  </si>
  <si>
    <t xml:space="preserve">     •   Indiquer pour la subvention la date d'octroi, la nature, les obligations éventuelles ;</t>
  </si>
  <si>
    <t xml:space="preserve">     •   Pour les provisions réglementées, indiquer le texte de référence, les obligations ;</t>
  </si>
  <si>
    <t xml:space="preserve">     •   Commenter toute variation significative.</t>
  </si>
  <si>
    <t>Fonds affectés aux investissements</t>
  </si>
  <si>
    <t>Fonds non consommés en fin d'exercice destinés à un projet spécifique</t>
  </si>
  <si>
    <t>Fonds provenant des dons et legs d'immobilisations</t>
  </si>
  <si>
    <t>Autres fonds affectés</t>
  </si>
  <si>
    <t>TOTAL FONDS AFFECTES</t>
  </si>
  <si>
    <t>Donations et legs non encore reçus d'immobilisation destinés à la vente</t>
  </si>
  <si>
    <t>Donation temporaire d'usufruit</t>
  </si>
  <si>
    <t>Autres fonds reportés</t>
  </si>
  <si>
    <t>TOTAL FONDS REPORTES</t>
  </si>
  <si>
    <t xml:space="preserve">        •    Indiquer la date d'affectation des fonds aux investissements et leur mode de reprise ;</t>
  </si>
  <si>
    <t xml:space="preserve">        •    Indiquer la date de la donation et des legs d'immobilisations ainsi que la nature de leur montant ;</t>
  </si>
  <si>
    <t xml:space="preserve">        •    Indiquer la date de l'acte juridique de la donation  temporaire et  la nature de l'usufruit, la durée de jouissance ;</t>
  </si>
  <si>
    <t xml:space="preserve">        •    Justifier la caracttère significatif du montant total de cette rubrique ;</t>
  </si>
  <si>
    <t xml:space="preserve">        •    Justifier le caractère significatif du montant total de cette rubrique ;</t>
  </si>
  <si>
    <t xml:space="preserve">        •    Commenter toute variation significative.</t>
  </si>
  <si>
    <t xml:space="preserve">        •    Indiquer la date de l'acte juridique de la donation et du legs non encore reçus des immobilisations destinées à la  </t>
  </si>
  <si>
    <t xml:space="preserve">             vente ;</t>
  </si>
  <si>
    <t xml:space="preserve">Libellés </t>
  </si>
  <si>
    <t>Dettes à un  an au plus</t>
  </si>
  <si>
    <t xml:space="preserve">Emprunts obligataires </t>
  </si>
  <si>
    <t>Emprunts et dettes auprès des établissements de crédit</t>
  </si>
  <si>
    <t>Avances reçues de l'Etat</t>
  </si>
  <si>
    <t>Dépôts et cautionnements reçus</t>
  </si>
  <si>
    <t>Interêts courus</t>
  </si>
  <si>
    <t>Autres emprunts et dettes</t>
  </si>
  <si>
    <t>TOTAL EMPRUNTS ET DETTES FINANCIERS</t>
  </si>
  <si>
    <t>Location-vente</t>
  </si>
  <si>
    <t>Autres dettes de location-acquisition</t>
  </si>
  <si>
    <t>TOTAL DETTE DE LOCATION-ACQUISITION</t>
  </si>
  <si>
    <t xml:space="preserve">Provisions pour litiges </t>
  </si>
  <si>
    <t>Provisions pour charges sur donations et legs</t>
  </si>
  <si>
    <t xml:space="preserve">Provisions pour pertes de change </t>
  </si>
  <si>
    <t>Provisions pour pensions et obligations similaires</t>
  </si>
  <si>
    <t>Actif du régime de retraite (1)</t>
  </si>
  <si>
    <t>Autres provisions pour risques et charges</t>
  </si>
  <si>
    <t>TOTAL PROVISIONS FINANCIERS POUR RISQUES ET CHARGES</t>
  </si>
  <si>
    <t>(1) solde débiteur ducompte</t>
  </si>
  <si>
    <t>Commentaie :</t>
  </si>
  <si>
    <t xml:space="preserve">Dettes à plus de deux ans </t>
  </si>
  <si>
    <t>Crédit-bail mobilier</t>
  </si>
  <si>
    <t>Crédit-bail immobilier</t>
  </si>
  <si>
    <r>
      <t xml:space="preserve">        </t>
    </r>
    <r>
      <rPr>
        <sz val="10"/>
        <color theme="1"/>
        <rFont val="Times New Roman"/>
        <family val="1"/>
      </rPr>
      <t>•</t>
    </r>
    <r>
      <rPr>
        <i/>
        <sz val="10"/>
        <color theme="1"/>
        <rFont val="Times New Roman"/>
        <family val="1"/>
      </rPr>
      <t xml:space="preserve">      Pour chaque emprunt et dette de location-acquisition : mentionner la date d'octroi, le nom de l'organisme financier, le </t>
    </r>
  </si>
  <si>
    <t xml:space="preserve">                montant initial de l'emprunt ou la dette, la durée du crédit, la garantie données par l'entité;</t>
  </si>
  <si>
    <t xml:space="preserve">        •     Indiquer les évènements et circonstances qui ont conduit  à la provision et à la reprise ;</t>
  </si>
  <si>
    <t xml:space="preserve">        •     Pour les pensions et obligations de retraite, indiquer :</t>
  </si>
  <si>
    <t xml:space="preserve">        •     la méthode d'évaluation retenue ;</t>
  </si>
  <si>
    <t xml:space="preserve">        •    le nom de la compagnie d'assurance ou du fonds de pension, le descriptif de la convention </t>
  </si>
  <si>
    <t xml:space="preserve">             signée avec l'organisme, la périodicité des versements, le montant et la durée de la convention,</t>
  </si>
  <si>
    <t xml:space="preserve">            pour les actifs du régime.</t>
  </si>
  <si>
    <t>Actif éventuel</t>
  </si>
  <si>
    <t>Litiges</t>
  </si>
  <si>
    <t>…............</t>
  </si>
  <si>
    <t>Passif éventuel</t>
  </si>
  <si>
    <t>Décrire les principales caractéristiques des actifs/ passifs éventuels, l'horison de temps auquel les encaissements /</t>
  </si>
  <si>
    <t>décaissements sont attendus et les éventuls remboursements à percevoir.</t>
  </si>
  <si>
    <t>Fournisseurs, dettes en compte</t>
  </si>
  <si>
    <t>Fournisseurs, réserve de propriété</t>
  </si>
  <si>
    <t>Fournisseurs, retenue de garantie</t>
  </si>
  <si>
    <t>Fournisseurs effets à payer</t>
  </si>
  <si>
    <t>Fournisseurs factures non parvenues</t>
  </si>
  <si>
    <t>TOTAL FOURNISSEURS</t>
  </si>
  <si>
    <t>Fournisseurs, avances et acomptes</t>
  </si>
  <si>
    <t>Fournisseurs sous-traitants, avances et acomptes</t>
  </si>
  <si>
    <t>Autres fournisseurs débiteurs</t>
  </si>
  <si>
    <t>TOTAL FOURNISSEURS DEBITEURS</t>
  </si>
  <si>
    <t>Personnel, rénumérations dues</t>
  </si>
  <si>
    <t>Personnel, congés à payer</t>
  </si>
  <si>
    <t>Charges sociales sur congés à payer</t>
  </si>
  <si>
    <t>Autres personnel</t>
  </si>
  <si>
    <t xml:space="preserve"> Caisse de Sécurité Sociale</t>
  </si>
  <si>
    <t>Caisse de retraite</t>
  </si>
  <si>
    <t>Mutuelle de santé</t>
  </si>
  <si>
    <t>Assurance retraite</t>
  </si>
  <si>
    <t>Autres charges sociales à payer</t>
  </si>
  <si>
    <t>Autres cotisations et organismes sociaux</t>
  </si>
  <si>
    <t>TOTAL DETTES SOCIALES</t>
  </si>
  <si>
    <t>Etat, autres impôts et taxes</t>
  </si>
  <si>
    <t>Etat, TVA</t>
  </si>
  <si>
    <t>Etat, impôts retenus à la source</t>
  </si>
  <si>
    <t>Autres dettes Etat</t>
  </si>
  <si>
    <t>TOTAL DETTES FISCALES</t>
  </si>
  <si>
    <t xml:space="preserve">TOTAL DETTES SOCIALES ET FISCALES </t>
  </si>
  <si>
    <t xml:space="preserve">        •           Commenter toute variation significative</t>
  </si>
  <si>
    <t xml:space="preserve">        •           Commenter les dettes anciennes</t>
  </si>
  <si>
    <t>Fonds d'administration de projets</t>
  </si>
  <si>
    <t>Bailleurs de fonds</t>
  </si>
  <si>
    <t>Autres organismes de financement assimiles</t>
  </si>
  <si>
    <t>Créditeurs divers</t>
  </si>
  <si>
    <t>Créditeurs, dons en nature courants non consommées</t>
  </si>
  <si>
    <t>Versements restants à effectuer sur titres de placement non libérés</t>
  </si>
  <si>
    <t>Générosités financières à recevoir</t>
  </si>
  <si>
    <t>Autres créditeurs divers</t>
  </si>
  <si>
    <t>TOTAL AUTRES DETTES</t>
  </si>
  <si>
    <t>TOTAL CREDITEURS DIVERS</t>
  </si>
  <si>
    <t>Provision pour risques et charges à court terme (voir note 30)</t>
  </si>
  <si>
    <r>
      <rPr>
        <sz val="10"/>
        <color theme="1"/>
        <rFont val="Times New Roman"/>
        <family val="1"/>
      </rPr>
      <t xml:space="preserve">          •</t>
    </r>
    <r>
      <rPr>
        <i/>
        <sz val="10"/>
        <color theme="1"/>
        <rFont val="Times New Roman"/>
        <family val="1"/>
      </rPr>
      <t>        De toute variation significative ;</t>
    </r>
  </si>
  <si>
    <t xml:space="preserve">          •         Indiquer le taux de rémunération si compte courant rémunéré ;</t>
  </si>
  <si>
    <t xml:space="preserve">          •         Des dettes anciennes.</t>
  </si>
  <si>
    <t>Banque, autres états et région</t>
  </si>
  <si>
    <t>Autres banques</t>
  </si>
  <si>
    <t xml:space="preserve">Banques ; intérêts courus </t>
  </si>
  <si>
    <t>Crédits de trésorerie</t>
  </si>
  <si>
    <t>TOTAL : BANQUES, CREDITS DE TRESORERIE</t>
  </si>
  <si>
    <t>NB : -‘’Banques et intérêts courus’’ figure dans cette rubrique si le compte principal attaché est créditeur</t>
  </si>
  <si>
    <r>
      <t xml:space="preserve">•         </t>
    </r>
    <r>
      <rPr>
        <i/>
        <sz val="10"/>
        <color theme="1"/>
        <rFont val="Times New Roman"/>
        <family val="1"/>
      </rPr>
      <t>Commenter toute variation significative</t>
    </r>
  </si>
  <si>
    <r>
      <t xml:space="preserve">•          </t>
    </r>
    <r>
      <rPr>
        <i/>
        <sz val="10"/>
        <color theme="1"/>
        <rFont val="Times New Roman"/>
        <family val="1"/>
      </rPr>
      <t>Indiquer le nom de l’organisme, les conditions de crédit, taux d’intérêts, la durée de crédit</t>
    </r>
  </si>
  <si>
    <t>Cotisations des adhérents</t>
  </si>
  <si>
    <t>Ventes de marchandises, services et produits finis</t>
  </si>
  <si>
    <t xml:space="preserve">Revenus des manifestations </t>
  </si>
  <si>
    <t>Autres revenus</t>
  </si>
  <si>
    <t>TOTAL : REVENUS</t>
  </si>
  <si>
    <t>Subventions d’exploitation</t>
  </si>
  <si>
    <t xml:space="preserve">Autres produits et transferts de charges d’exploitation </t>
  </si>
  <si>
    <t>TOTAL : SUBVENTIONS D’EXPLOITATION ET AUTRES PRODUITS</t>
  </si>
  <si>
    <t xml:space="preserve">TOTAL </t>
  </si>
  <si>
    <t>Achats de biens et services liés à l’activité dans l’Etat partie</t>
  </si>
  <si>
    <t>Achats de biens et services liés à l’activité dans les autres Etats parties de la Région</t>
  </si>
  <si>
    <t>Achats de biens et de services liés à l’activité hors Région</t>
  </si>
  <si>
    <t>TOTAL : ACHATS DE BIENS ET DE SERVICES LIES A L’ACTIVITE</t>
  </si>
  <si>
    <t>Achats de marchandises et matières premières dans l’Etat partie</t>
  </si>
  <si>
    <t>Achats de marchandises et matières premières dans les autres Etats parties de la Région</t>
  </si>
  <si>
    <t>Achats de marchandises et matières premières hors Région</t>
  </si>
  <si>
    <t xml:space="preserve">Matières consommables </t>
  </si>
  <si>
    <t>Matières combustibles</t>
  </si>
  <si>
    <t>Produits d’entretien</t>
  </si>
  <si>
    <t>Fournitures d’atelier, usine et de magasin</t>
  </si>
  <si>
    <t>Eau</t>
  </si>
  <si>
    <t>Electricité</t>
  </si>
  <si>
    <t>Autres Energies</t>
  </si>
  <si>
    <t>Fournitures d’entretien</t>
  </si>
  <si>
    <t>Fournitures de bureau</t>
  </si>
  <si>
    <t>Petit matériel et outillages</t>
  </si>
  <si>
    <t>Achats autres activités</t>
  </si>
  <si>
    <t xml:space="preserve">Achats études ; prestations et services, de travaux matériels et équipements </t>
  </si>
  <si>
    <t>Achats d’emballages</t>
  </si>
  <si>
    <t>Frais sur achats</t>
  </si>
  <si>
    <t>Rabais, remises et ristournes obtenus</t>
  </si>
  <si>
    <t>TOTAL AUTRES ACHATS</t>
  </si>
  <si>
    <t>Commentaires</t>
  </si>
  <si>
    <t>Transports sur ventes</t>
  </si>
  <si>
    <t xml:space="preserve">Transports pour le compte de tiers </t>
  </si>
  <si>
    <t>Transports du personnel</t>
  </si>
  <si>
    <t xml:space="preserve">Transports de plis </t>
  </si>
  <si>
    <t>Voyages et déplacements</t>
  </si>
  <si>
    <t>Transports administratifs</t>
  </si>
  <si>
    <t xml:space="preserve">Varriation en </t>
  </si>
  <si>
    <t>Sous-traitance générale</t>
  </si>
  <si>
    <t>Locations et charges locatives</t>
  </si>
  <si>
    <t>Redevances de location-acquisition</t>
  </si>
  <si>
    <t>Entretien, reparations et maintenance</t>
  </si>
  <si>
    <t>Primes d'assurance</t>
  </si>
  <si>
    <t>Etudes, recherches et documentations</t>
  </si>
  <si>
    <t>Publicités, publications, relations publiques</t>
  </si>
  <si>
    <t>Frais de télécommunications</t>
  </si>
  <si>
    <t>Frais bancaires</t>
  </si>
  <si>
    <t>Rémunérations d'intermediaires et de conseils</t>
  </si>
  <si>
    <t>Frais de formation du personnel</t>
  </si>
  <si>
    <t>Redevances pour brevets, licences, logiciels, concessions et droits similaires</t>
  </si>
  <si>
    <t>Cotisations</t>
  </si>
  <si>
    <t>Frais de recherche de fonds</t>
  </si>
  <si>
    <t>Rémunérations de personnel extérieurs à l'entité</t>
  </si>
  <si>
    <t>Aures charges externes</t>
  </si>
  <si>
    <t>Impôts et taxes directs</t>
  </si>
  <si>
    <t>Impôts et taxes indirects</t>
  </si>
  <si>
    <t>Droit d'enregistrement</t>
  </si>
  <si>
    <t>Pénalités et amendes fiscales</t>
  </si>
  <si>
    <t>Autres impôts et taxes</t>
  </si>
  <si>
    <t>(1) : Ce compte a un solde créditeur, son montant doit être précédé d'un signe (-)</t>
  </si>
  <si>
    <t>Dégrèvements et annulations des et taxes ⁽¹⁾</t>
  </si>
  <si>
    <t xml:space="preserve">          •    Commenter toute variation significative ;
</t>
  </si>
  <si>
    <t xml:space="preserve">          •    Détailler les pénalités, les amendes et indiquer la cause.</t>
  </si>
  <si>
    <t>Pertes sur créances adhérents</t>
  </si>
  <si>
    <t>Pertes sur Clients et autres débiteurs</t>
  </si>
  <si>
    <t>Subventions versées par l'entité</t>
  </si>
  <si>
    <t>Dons en nature courants à distribuer</t>
  </si>
  <si>
    <t xml:space="preserve">Pénalités et amendes pénales </t>
  </si>
  <si>
    <t>Autres charges diverses</t>
  </si>
  <si>
    <t>Charges pour dépréciations et provisions pour risques à court terme d'exploitation (voir note 30)</t>
  </si>
  <si>
    <r>
      <t>Commentaire</t>
    </r>
    <r>
      <rPr>
        <i/>
        <sz val="10"/>
        <color rgb="FF000000"/>
        <rFont val="Times New Roman"/>
        <family val="1"/>
      </rPr>
      <t xml:space="preserve">: </t>
    </r>
  </si>
  <si>
    <t>Rémunérations directes versées au personnel non national</t>
  </si>
  <si>
    <t>Indemnités forfaitaires versées au personnel</t>
  </si>
  <si>
    <t>Charges sociales (personnel national)</t>
  </si>
  <si>
    <t>Charges sociales (personnel non national)</t>
  </si>
  <si>
    <t>Habillement et équipement du personnel</t>
  </si>
  <si>
    <t>Rémunération transférée de personnel extérieur</t>
  </si>
  <si>
    <t>Autres charges sociales</t>
  </si>
  <si>
    <t>(1) : Ce compte a un solde créditeur , son montant doit être précédé d’un signe (-)</t>
  </si>
  <si>
    <r>
      <t xml:space="preserve">Dégrèvements et annulation des charges sociales </t>
    </r>
    <r>
      <rPr>
        <vertAlign val="superscript"/>
        <sz val="11"/>
        <color rgb="FF000000"/>
        <rFont val="Times New Roman"/>
        <family val="1"/>
      </rPr>
      <t>(1)</t>
    </r>
  </si>
  <si>
    <t>Rémunérations directes versées au personnel national</t>
  </si>
  <si>
    <t>●         Indiquer la nature et la durée du contrat du personnel extérieur.</t>
  </si>
  <si>
    <r>
      <rPr>
        <sz val="10"/>
        <color theme="1"/>
        <rFont val="Calibri"/>
        <family val="2"/>
      </rPr>
      <t>●</t>
    </r>
    <r>
      <rPr>
        <i/>
        <sz val="10"/>
        <color theme="1"/>
        <rFont val="Times New Roman"/>
        <family val="1"/>
      </rPr>
      <t>         Commenter toute variation significative ;</t>
    </r>
  </si>
  <si>
    <t>1. Personnel propre</t>
  </si>
  <si>
    <t>EFFECTIFS</t>
  </si>
  <si>
    <t>MASSE SALARIALE</t>
  </si>
  <si>
    <t>Nationaux</t>
  </si>
  <si>
    <t>Autres Etats de la Région</t>
  </si>
  <si>
    <t>Hors Région</t>
  </si>
  <si>
    <t>M</t>
  </si>
  <si>
    <t>F</t>
  </si>
  <si>
    <t>YA</t>
  </si>
  <si>
    <t>1.Cadres supérieurs</t>
  </si>
  <si>
    <t>YB</t>
  </si>
  <si>
    <t>2.Techniciens supérieurs et cadres moyens</t>
  </si>
  <si>
    <t>YC</t>
  </si>
  <si>
    <t>3.Techniciens, agent de maîtrise et ouvriers qualifiés</t>
  </si>
  <si>
    <t>YD</t>
  </si>
  <si>
    <t>4.Employés, manœuvre, ouvriers, et apprentis</t>
  </si>
  <si>
    <t>YE</t>
  </si>
  <si>
    <t>TOTAL (1)</t>
  </si>
  <si>
    <t>YF</t>
  </si>
  <si>
    <t>Permanents</t>
  </si>
  <si>
    <t>YG</t>
  </si>
  <si>
    <t>Saisonniers</t>
  </si>
  <si>
    <t>Facturation de l'entité</t>
  </si>
  <si>
    <t>2. Personnel extérieur et bénévole</t>
  </si>
  <si>
    <t>YH</t>
  </si>
  <si>
    <t>YI</t>
  </si>
  <si>
    <t>YJ</t>
  </si>
  <si>
    <t xml:space="preserve">YK </t>
  </si>
  <si>
    <t>YL</t>
  </si>
  <si>
    <t>TOTAL (2)</t>
  </si>
  <si>
    <t>YM</t>
  </si>
  <si>
    <t>M : Masculin</t>
  </si>
  <si>
    <t>YN</t>
  </si>
  <si>
    <t>F : Féminin</t>
  </si>
  <si>
    <t>QUALIFICATIONS</t>
  </si>
  <si>
    <t xml:space="preserve">EFFECTIF ET MASSE SALARIALE </t>
  </si>
  <si>
    <t>YO</t>
  </si>
  <si>
    <t>TOTAL (1 + 2)</t>
  </si>
  <si>
    <t xml:space="preserve">   Commentaire :</t>
  </si>
  <si>
    <t xml:space="preserve">C </t>
  </si>
  <si>
    <t>Provisions à l'ouverture de l'exercice</t>
  </si>
  <si>
    <t>Augmentations : dotations</t>
  </si>
  <si>
    <t>Diminutions : reprises</t>
  </si>
  <si>
    <t>Provisions à la clôture de l'exercice</t>
  </si>
  <si>
    <t>d'exploitation</t>
  </si>
  <si>
    <t>financières</t>
  </si>
  <si>
    <t>Hors activités ordinaires</t>
  </si>
  <si>
    <t xml:space="preserve">Dépréciations des immobilisations </t>
  </si>
  <si>
    <t xml:space="preserve">Dépréciations des dons et legs temporaires d'usufruit et d'immobilisations recues destinees à la vente </t>
  </si>
  <si>
    <t>Dotation de fonds affectés à un projet non consommés</t>
  </si>
  <si>
    <t>TOTAL: DOTATIONS</t>
  </si>
  <si>
    <t xml:space="preserve">Dépréciations des stocks et encours </t>
  </si>
  <si>
    <t>Dépréciations des comptes fournisseurs</t>
  </si>
  <si>
    <t>Dépréciations des comptes adhérents et clients</t>
  </si>
  <si>
    <t>Dépréciations autres créances d’exploitations</t>
  </si>
  <si>
    <t>Dépréciations des comptes créances HAO</t>
  </si>
  <si>
    <t>Dépréciation des titres et valeurs à encaisser</t>
  </si>
  <si>
    <t>Dépréciations des comptes banques</t>
  </si>
  <si>
    <t>Dépréciations des comptes établissements financiers et assimiles</t>
  </si>
  <si>
    <t>Dépréciations des comptes d’instruments de monnaie électronique</t>
  </si>
  <si>
    <t>Provisions pour risques à court termes d’exploitation</t>
  </si>
  <si>
    <t>Provisions pour risques à court terme HAO</t>
  </si>
  <si>
    <t>Provisions pour risque à court terme a caractère financier</t>
  </si>
  <si>
    <t>TOTAL : CHARGES POUR DEPRECIATIONS ET PROVISIONS A COURT TERME</t>
  </si>
  <si>
    <t xml:space="preserve"> SITUATIONS ET MOUVEMENTS</t>
  </si>
  <si>
    <t>NATURE</t>
  </si>
  <si>
    <t xml:space="preserve">  Commentaire</t>
  </si>
  <si>
    <t xml:space="preserve">  Indiquer les événements et circonstances qui ont conduit à la constitution et à la reprise de la dépréciation et/ou de la provision.</t>
  </si>
  <si>
    <t>Intérêts dans loyers de location-acquisition</t>
  </si>
  <si>
    <t>Escomptes accordes</t>
  </si>
  <si>
    <t>Autres intérêts</t>
  </si>
  <si>
    <t>Pertes de changes financières</t>
  </si>
  <si>
    <t>Pertes sur titre de placement</t>
  </si>
  <si>
    <t>Pertes et charges sur risques financiers</t>
  </si>
  <si>
    <t>Charges pour dépréciations et provisions a court termes à caractères financiers (voir note 30)</t>
  </si>
  <si>
    <t>TOTAL : FRAIS FINANCIERS</t>
  </si>
  <si>
    <t>Intérêts de prêts et créances diverses</t>
  </si>
  <si>
    <t>Revenus de participation et autres titres immobilises</t>
  </si>
  <si>
    <t>Escomptes obtenus</t>
  </si>
  <si>
    <t>Revenus de placement</t>
  </si>
  <si>
    <t>Intérêts dans loyers de locations-financement</t>
  </si>
  <si>
    <t>Gains de changes financières</t>
  </si>
  <si>
    <t>Gains sur cession de titres de placement</t>
  </si>
  <si>
    <t>Gains sur risques financiers</t>
  </si>
  <si>
    <t>Transfert de charges financières</t>
  </si>
  <si>
    <t>TOTAL : REVENUS FINANCIERS</t>
  </si>
  <si>
    <t>Intérêts des emprunts</t>
  </si>
  <si>
    <t>Reprises de charges pour dépréciations et provisions a court termes à caractères financiers (voir note 30)</t>
  </si>
  <si>
    <r>
      <t>Commentaires</t>
    </r>
    <r>
      <rPr>
        <i/>
        <sz val="10"/>
        <color theme="1"/>
        <rFont val="Times New Roman"/>
        <family val="1"/>
      </rPr>
      <t xml:space="preserve"> : </t>
    </r>
  </si>
  <si>
    <r>
      <rPr>
        <sz val="10"/>
        <color theme="1"/>
        <rFont val="Calibri"/>
        <family val="2"/>
      </rPr>
      <t xml:space="preserve">       ●</t>
    </r>
    <r>
      <rPr>
        <i/>
        <sz val="10"/>
        <color theme="1"/>
        <rFont val="Times New Roman"/>
        <family val="1"/>
      </rPr>
      <t>         Commenter toute variation significative ;</t>
    </r>
  </si>
  <si>
    <t>       ●        Indiquer la nature des provisions pour risques a court terme.</t>
  </si>
  <si>
    <t>Libellées</t>
  </si>
  <si>
    <t>Charges H.A.O. Constatées( compte 831)</t>
  </si>
  <si>
    <t>Dons en nature ( compte 832 ) à détailler (1) :</t>
  </si>
  <si>
    <t>Pertes sur créances HAO</t>
  </si>
  <si>
    <t xml:space="preserve">Abandon de créance consentis </t>
  </si>
  <si>
    <t>Charges pour dépréciation et provisions pour risque à court terme HAO</t>
  </si>
  <si>
    <t>Dotations hors activités ordinaires</t>
  </si>
  <si>
    <t>Produits H.A.O.constatés (compte 841)</t>
  </si>
  <si>
    <t>Reprises des charges pour dépréciations et prévisions à court terme HAO</t>
  </si>
  <si>
    <t>Réprises d'amortissements, provisions et dépréciations H.A.O.</t>
  </si>
  <si>
    <t xml:space="preserve">Subventions d'équilibre </t>
  </si>
  <si>
    <t xml:space="preserve">     (1) non affectée ……..</t>
  </si>
  <si>
    <t xml:space="preserve">     (1) affectée: ………….</t>
  </si>
  <si>
    <t>TOTAL : AUTRES CHARGES HAO</t>
  </si>
  <si>
    <t>Contributions volontaires en nature (compte 842) à detailler (1) :</t>
  </si>
  <si>
    <t xml:space="preserve">      (1) dons en nature non affectés……..</t>
  </si>
  <si>
    <t xml:space="preserve">      (1) Prestations de services en nature…….. </t>
  </si>
  <si>
    <t xml:space="preserve">      (1) Dons en natur affectés……</t>
  </si>
  <si>
    <t>Contributions volontaires en numéraire</t>
  </si>
  <si>
    <t>Transferts de charges HAO</t>
  </si>
  <si>
    <t>TOTAL : AUTRES PRODUITS HAO</t>
  </si>
  <si>
    <t>Commenter toute variation significative.</t>
  </si>
  <si>
    <t>(EN MILLIERS DE FRANCS )</t>
  </si>
  <si>
    <t xml:space="preserve">Valeur </t>
  </si>
  <si>
    <t>SOLDES INTERMEDIAIRES DE GESTION</t>
  </si>
  <si>
    <t>Résultats des activités ordinaires</t>
  </si>
  <si>
    <t>Résultats hors activités ordinaires</t>
  </si>
  <si>
    <t xml:space="preserve">Résultat net </t>
  </si>
  <si>
    <t>Ratio de cotisation acquises =Cotisation/charges de l'exercice (b)</t>
  </si>
  <si>
    <t>Ratio d'utilisation des dons=sommes versées directement aux béneficiaires/sommes collectées brutes</t>
  </si>
  <si>
    <t xml:space="preserve"> +  Fonds propres et assimilés</t>
  </si>
  <si>
    <t xml:space="preserve"> + Dettes financières* et ressources assimilées (c)</t>
  </si>
  <si>
    <t xml:space="preserve"> = RESSOURCES STABLES </t>
  </si>
  <si>
    <t xml:space="preserve"> - Actif immobilisé ©</t>
  </si>
  <si>
    <t xml:space="preserve"> = FONDS DE ROULEMENT (1)</t>
  </si>
  <si>
    <t xml:space="preserve"> + Actif circulant d'exploitation ©</t>
  </si>
  <si>
    <t xml:space="preserve"> - Passif circulant d'exploitation ©</t>
  </si>
  <si>
    <t xml:space="preserve"> + Actif circulant HAO ©</t>
  </si>
  <si>
    <t xml:space="preserve"> = BESOIN DE FINANCEMENT HAO (3)</t>
  </si>
  <si>
    <t>BESOIN DE FINANCEMENT GLOBAL (4) = (2) + (3)</t>
  </si>
  <si>
    <t>TRESORERIE NETTE (5) = (1)-(4)</t>
  </si>
  <si>
    <t>CONTRÔLE : TRESORERIE NETTE = (TRESORERIE - ACTIF) -(TRESORERIE - PASSIF)</t>
  </si>
  <si>
    <t>a) capacité d' autofinancement globale = Résultat net + Dotations aux  amortissements et aux dépréciations ,</t>
  </si>
  <si>
    <t>provisions et autres -Reprise d'amortissements, de dépréciations provisions et autres + valeurs comptables</t>
  </si>
  <si>
    <t xml:space="preserve">des cessions d'immobilisations - produits des cessions d'immobilisations </t>
  </si>
  <si>
    <t>b) Les variations des ratios doivent  etre exprimées en nombre de points (par exemple de 2% à 5% =3 points)</t>
  </si>
  <si>
    <t>c)Les ecarts de conversions doivent etre éliminés afin de raméner les créances et les dettes concernées à leur valeur initiale</t>
  </si>
  <si>
    <t>* dettes financiers : emprunts et dettes financiers divers + des de location-acquisition</t>
  </si>
  <si>
    <t xml:space="preserve"> %</t>
  </si>
  <si>
    <t xml:space="preserve">  Variation en</t>
  </si>
  <si>
    <t>Capacité d'autofinacement globale (CAFG) (a)</t>
  </si>
  <si>
    <r>
      <t xml:space="preserve"> </t>
    </r>
    <r>
      <rPr>
        <b/>
        <sz val="11"/>
        <color theme="1"/>
        <rFont val="Times New Roman"/>
        <family val="1"/>
      </rPr>
      <t>ANALYSE DE L'ACTIVITE</t>
    </r>
  </si>
  <si>
    <t xml:space="preserve"> ANALYSE DE LA STRUCTURE FINANCIERE</t>
  </si>
  <si>
    <r>
      <t xml:space="preserve"> =</t>
    </r>
    <r>
      <rPr>
        <b/>
        <sz val="11"/>
        <color theme="1"/>
        <rFont val="Times New Roman"/>
        <family val="1"/>
      </rPr>
      <t xml:space="preserve"> BESOIN DE FINANCEMENT D'EXPLOITATION (2)</t>
    </r>
  </si>
  <si>
    <t xml:space="preserve"> - Passif circulant HAO ©</t>
  </si>
  <si>
    <t xml:space="preserve"> ANALYSE DE LA SOLVABILITE</t>
  </si>
  <si>
    <t xml:space="preserve"> ANALYSE DE LA VARIATION DE LA TRESORERIE</t>
  </si>
  <si>
    <t xml:space="preserve">   Ratio de liquidité générale = Créances** + Tresorerie -actif/Passif circulant</t>
  </si>
  <si>
    <t xml:space="preserve">   Flux de trésorerie des activités opérationnelles</t>
  </si>
  <si>
    <t xml:space="preserve">   Flux de trésorerie des activités d'investissement</t>
  </si>
  <si>
    <t xml:space="preserve">   Flux de trésorerie des activités de financerment</t>
  </si>
  <si>
    <t xml:space="preserve">   = VARAITIONDE LA TRESORERIE NETTE DE LA PERIODE</t>
  </si>
  <si>
    <t>** Créances = Fournisseurs avances versées + Adhérents+Autres Créances</t>
  </si>
  <si>
    <t>Emploi :</t>
  </si>
  <si>
    <t xml:space="preserve">Relations sociales : </t>
  </si>
  <si>
    <t xml:space="preserve">Santé et sécurité : </t>
  </si>
  <si>
    <t xml:space="preserve">Formation : </t>
  </si>
  <si>
    <t>le nombre total d'heures de formation.</t>
  </si>
  <si>
    <t xml:space="preserve">Egalité de traitement : </t>
  </si>
  <si>
    <t>Politique générale en matière environnementale :</t>
  </si>
  <si>
    <t>Pollution et gestion des dechets :</t>
  </si>
  <si>
    <t xml:space="preserve">Utilisation durable des ressources : </t>
  </si>
  <si>
    <t>Changement climatique :</t>
  </si>
  <si>
    <t>Protection de la bio diversité :</t>
  </si>
  <si>
    <t>Impact terriorial, économique et social de l'activité de la société :</t>
  </si>
  <si>
    <t>Sous-traitance et fournisseurs :</t>
  </si>
  <si>
    <t>INFORMATIONS SOCIALES</t>
  </si>
  <si>
    <t xml:space="preserve"> (Note obligatoire pour les entités ayant un effectif de plus de 250 personnes y compris les bénévoles)</t>
  </si>
  <si>
    <t>INFORMATIONS ENVIRONNEMENTALES</t>
  </si>
  <si>
    <t>• l'effectif total et la répartition des salariées par sexe , âge et zone géographique ;</t>
  </si>
  <si>
    <t>• les embauches et les licenciements</t>
  </si>
  <si>
    <t>• les remunérations et leur évolution.</t>
  </si>
  <si>
    <t xml:space="preserve">• l'organisation du dialogue sociale ; </t>
  </si>
  <si>
    <t>• le bilan des accords collectifs.</t>
  </si>
  <si>
    <t>• les conditions de santés et de sécurité au travail ;</t>
  </si>
  <si>
    <t>• le bilan des accords signés avec les organisations syndicales ou les réprésentants du personnel en matière de santé et de sécurité au travail.</t>
  </si>
  <si>
    <t>• les politiques mises en œuvre en matière de formation ;</t>
  </si>
  <si>
    <t>• les mesures prises en faveur de l'égalité entre les hommes et les femmes  ;</t>
  </si>
  <si>
    <t>• les mesures prises en faveur de l'emploi et l'insertion des personnes handicapées;</t>
  </si>
  <si>
    <t>• l'organisation de la société pour prendre en comptes  les questions environnementales et , le cas échéant, les demarches d'évaluation ou de certification en matière d'environnement;</t>
  </si>
  <si>
    <t>• les actions de formations et d'information des salariés menées en matière de protection d'environnement;</t>
  </si>
  <si>
    <t>• les moyens consacrés à la pévention des risques environnementaux et des pollutions.</t>
  </si>
  <si>
    <t>• les mesures de prevention de recyclage et d'élimination des dechets;</t>
  </si>
  <si>
    <t>• les mesures de préventions , de reduction ou de réparation  de rejets dans l'air, l'eau et le sol affectant gravement l'environnement;</t>
  </si>
  <si>
    <t>• la prise en compte ddezs nuisances sonores et de toute autre forme de pollution spécifique à une activité.</t>
  </si>
  <si>
    <t>• la consommation d'eau et l'approvisionnement en eau en fonction des contraintes locales ;</t>
  </si>
  <si>
    <t>• la consommation de matière prémières et les mesures prises pour amériorer l'efficacité dans leur utilisation ;</t>
  </si>
  <si>
    <t>• la consommation d'énergie , les mesures prises pour ameliorer l'efficacité énergétique et le recours aux énergies renouvelable.</t>
  </si>
  <si>
    <t>• les rejets de gaz à effet de serre.</t>
  </si>
  <si>
    <t>• les mesures prises pour preserver ou developper la biodiversité.</t>
  </si>
  <si>
    <t>• en matiere d'emploi et de developpement régional;</t>
  </si>
  <si>
    <t>• sur les population riveraines ou locales.</t>
  </si>
  <si>
    <t>• les conditions du dialogue avec ces personnes ou organisations ;</t>
  </si>
  <si>
    <t>• les actions de partenariat ou de mécénat.</t>
  </si>
  <si>
    <t>• la prise en compte dans la politique d'achat des enjeux sociaux et environnementaux.</t>
  </si>
  <si>
    <t>Reation entretenues avec les personnes ou les organisations interssées par l'activité de l'entité (autres associations et fondations, etablissements d'enseignement….):</t>
  </si>
  <si>
    <t>INFORMATIONS RELATIVES AUX ENGAGEMENTS SOCIAUX EN FAVEUR DU DEVELOPPEMENT DURABLE</t>
  </si>
  <si>
    <t>NUMEROS DE COMPTES A  INCORPORER DANS LES POSTES</t>
  </si>
  <si>
    <t>Immobilisations incoporelles</t>
  </si>
  <si>
    <t>Dotation non consomptible avec droit reprise</t>
  </si>
  <si>
    <t>Immobilisation corporelles et financières</t>
  </si>
  <si>
    <t>Ecarts de réevalution</t>
  </si>
  <si>
    <t>Reserves</t>
  </si>
  <si>
    <t>Avances et accomptes versés sur immobilisation incorporées</t>
  </si>
  <si>
    <t>13 (131 ou139)</t>
  </si>
  <si>
    <t xml:space="preserve">Subvention d'investissements </t>
  </si>
  <si>
    <t>Provisions reglementées</t>
  </si>
  <si>
    <t>Fonds repportés</t>
  </si>
  <si>
    <t>Avances et accomptes versés sur immobilisation corporels</t>
  </si>
  <si>
    <t>40 (sauf 409)</t>
  </si>
  <si>
    <t>Adhérents, clients -usagers</t>
  </si>
  <si>
    <t xml:space="preserve"> 492,493,494,497</t>
  </si>
  <si>
    <t>Banques,Etablissement finaciers et credit de tresorerie</t>
  </si>
  <si>
    <t>56,solde crediteur: 52,53</t>
  </si>
  <si>
    <t xml:space="preserve"> 592,593,595</t>
  </si>
  <si>
    <t>Ecats de conversion-actif</t>
  </si>
  <si>
    <t>Ecarts de conversions passif</t>
  </si>
  <si>
    <t>IMMOBILISATIONS DESTINEES A LA VENTE PROVENANT DE DONS ET LEGS NON RECUS ET USUFRUIT TEMPORAIRE</t>
  </si>
  <si>
    <t xml:space="preserve">REF </t>
  </si>
  <si>
    <t>Dotation non consomptible sans droit reprise</t>
  </si>
  <si>
    <t>NUMEROS DE COMPTES A INCORPORER DANS LES POSTES</t>
  </si>
  <si>
    <t xml:space="preserve">Brevets, licences, logicièls et droits similaires </t>
  </si>
  <si>
    <t xml:space="preserve">Autres immobilisation incoporelles </t>
  </si>
  <si>
    <t>Aménagements , agencements et installations</t>
  </si>
  <si>
    <t>Materiel, mobiliers et actifs biologiques</t>
  </si>
  <si>
    <t>Materiel de transports</t>
  </si>
  <si>
    <t xml:space="preserve">Valeur à encaisser </t>
  </si>
  <si>
    <t>Banques, etablissements financiers, caisses et assimilés</t>
  </si>
  <si>
    <t>218, 2198</t>
  </si>
  <si>
    <t>202, 203, 204, 205</t>
  </si>
  <si>
    <t>212, 213, 214, 2193</t>
  </si>
  <si>
    <t>231, 232, 233, 2391, 2392, 2393, 2396</t>
  </si>
  <si>
    <t>234, 235, 238, 2394, 2395, 2398</t>
  </si>
  <si>
    <t>2812, 2813, 2814, 2912, 2913, 2914, 2919p</t>
  </si>
  <si>
    <t xml:space="preserve"> 2818, 2918, 2919p</t>
  </si>
  <si>
    <t>282, 292</t>
  </si>
  <si>
    <t>2831, 2832, 2833, 2931, 2932, 2933, 2939p</t>
  </si>
  <si>
    <t xml:space="preserve"> Amortissents/dépréciations</t>
  </si>
  <si>
    <t>soldes debiteurs : 52,53,55,57</t>
  </si>
  <si>
    <t xml:space="preserve">  2839, 2835, 2838, 2934, 2935, 2938, 2939p</t>
  </si>
  <si>
    <t>24 (sauf 245 et 2495)</t>
  </si>
  <si>
    <t>284 (sauf 2845), 294 (sauf 2945,2949), 2949p</t>
  </si>
  <si>
    <t>2845, 2945, 2949p</t>
  </si>
  <si>
    <t>485, 4865</t>
  </si>
  <si>
    <t>31,32,33,34,36,37,38</t>
  </si>
  <si>
    <t>41 (sauf 419)</t>
  </si>
  <si>
    <t>soldes débiteurs: 42,43,44,45,47 (sauf 478)</t>
  </si>
  <si>
    <t>Resultats net de l'exercice (excedent + ou deficit-)</t>
  </si>
  <si>
    <t>Repport a nouveau (+ ou -)</t>
  </si>
  <si>
    <t>181, 182, 183, 185, 186, 188</t>
  </si>
  <si>
    <t>481, 484, 4861, 488, 4998</t>
  </si>
  <si>
    <t xml:space="preserve">Soldes crédteurs: 42, 43, 44, 45, 47 (sauf 479), 499 ( sauf4998), 599 </t>
  </si>
  <si>
    <t xml:space="preserve">IMMOBILISATIONS INCORPORELLES </t>
  </si>
  <si>
    <t xml:space="preserve">IMMOBILISATIONS CORPORELLES </t>
  </si>
  <si>
    <t xml:space="preserve"> + </t>
  </si>
  <si>
    <t>Dotations consomptibles transfées au compte de résultat</t>
  </si>
  <si>
    <t>Révenus liés à la générosité</t>
  </si>
  <si>
    <t>+</t>
  </si>
  <si>
    <t xml:space="preserve">Ventes de marchandises </t>
  </si>
  <si>
    <t>7052, 7053</t>
  </si>
  <si>
    <t xml:space="preserve">Subvention d'exploitation </t>
  </si>
  <si>
    <t xml:space="preserve"> +</t>
  </si>
  <si>
    <t>Reprises de provisions, dépréciations , subventions et autres reprises</t>
  </si>
  <si>
    <t>REVENUS DES ACTIVITES ORDINAIRES (somme RA à RG)</t>
  </si>
  <si>
    <t>-</t>
  </si>
  <si>
    <t>Variation de stocks des achats de biens et services liés à l'activité</t>
  </si>
  <si>
    <t xml:space="preserve"> +/-</t>
  </si>
  <si>
    <t>Variationde stock de marchandises , de matières premières et autres</t>
  </si>
  <si>
    <t xml:space="preserve"> +/ - </t>
  </si>
  <si>
    <t xml:space="preserve"> - </t>
  </si>
  <si>
    <t>Impôts et taxes</t>
  </si>
  <si>
    <t>AUTRES CHARGES</t>
  </si>
  <si>
    <t>Frais financiers et charges assimilées</t>
  </si>
  <si>
    <t xml:space="preserve">Dotations aux amortissements , provisions ,aux  dépréciations et autres </t>
  </si>
  <si>
    <t>CHARGES DES ACTIVITES ORDINAIRES ( somme TA à TL</t>
  </si>
  <si>
    <t>RESULTATS DES ACTIVITES ORDINAIRES (XA-XB )</t>
  </si>
  <si>
    <t>Produits H.A.O</t>
  </si>
  <si>
    <t>Charges H.A.O</t>
  </si>
  <si>
    <t>RESULTATS H.A.O (TM-TN)</t>
  </si>
  <si>
    <t xml:space="preserve">TC </t>
  </si>
  <si>
    <t xml:space="preserve">XD </t>
  </si>
  <si>
    <t>706, 707, 708, 72, 73(+/-), 75, 77, 78</t>
  </si>
  <si>
    <t>604, 605, 606, 608</t>
  </si>
  <si>
    <t>6032, 6033, 6034, 6035</t>
  </si>
  <si>
    <t>62, 63</t>
  </si>
  <si>
    <t>68, 69</t>
  </si>
  <si>
    <t>82, 84, 86, 88</t>
  </si>
  <si>
    <t>81, 83, 85, 87 ( +/-)</t>
  </si>
  <si>
    <t>Résultat net de l'exercice (excédent-déficit )                       (XC + XD)</t>
  </si>
  <si>
    <t>EXERCICE N</t>
  </si>
  <si>
    <t>FH</t>
  </si>
  <si>
    <t>Libellé</t>
  </si>
  <si>
    <t>Décaissement</t>
  </si>
  <si>
    <t>Engagement</t>
  </si>
  <si>
    <t>Exécution budget (%)</t>
  </si>
  <si>
    <t xml:space="preserve"> 4 / 1</t>
  </si>
  <si>
    <t>Réalisation</t>
  </si>
  <si>
    <t>EXERCICE N-1</t>
  </si>
  <si>
    <t>RESULTATS NET DE L'EXERCICE                                (+excédent, -déficit) (XC + XD)</t>
  </si>
  <si>
    <t>(Trésorerie actif N-1 - Trésorerie passif N-1 )</t>
  </si>
  <si>
    <r>
      <rPr>
        <b/>
        <sz val="11"/>
        <color theme="0"/>
        <rFont val="Times New Roman"/>
        <family val="1"/>
      </rPr>
      <t>Trésorerie nette au 1er janvier</t>
    </r>
    <r>
      <rPr>
        <sz val="11"/>
        <color theme="0"/>
        <rFont val="Times New Roman"/>
        <family val="1"/>
      </rPr>
      <t xml:space="preserve">                                                   </t>
    </r>
  </si>
  <si>
    <r>
      <rPr>
        <b/>
        <sz val="11"/>
        <color theme="0"/>
        <rFont val="Times New Roman"/>
        <family val="1"/>
      </rPr>
      <t>Flux de trésorerie provenant des activités d'investissement (somme FI à F</t>
    </r>
    <r>
      <rPr>
        <sz val="11"/>
        <color theme="0"/>
        <rFont val="Times New Roman"/>
        <family val="1"/>
      </rPr>
      <t>L)</t>
    </r>
  </si>
  <si>
    <t>Dettes garanties par des suretés réelles, engagements financiers et contributions volontaires en nature</t>
  </si>
  <si>
    <t>B- DECLARATION DE CONFORMITE AU SYSTÈME COMPTABLE DES ENTITÉS Á BUT NON LUCRATIF ET FAITS MARQUANTS DE L'EXERCICE</t>
  </si>
  <si>
    <r>
      <t xml:space="preserve">●        </t>
    </r>
    <r>
      <rPr>
        <i/>
        <sz val="10"/>
        <color rgb="FF000000"/>
        <rFont val="Times New Roman"/>
        <family val="1"/>
      </rPr>
      <t xml:space="preserve"> Décrire brièvement l'identité et l'organisation de l'entité ;</t>
    </r>
  </si>
  <si>
    <r>
      <t xml:space="preserve">●       </t>
    </r>
    <r>
      <rPr>
        <i/>
        <sz val="10"/>
        <color rgb="FF000000"/>
        <rFont val="Times New Roman"/>
        <family val="1"/>
      </rPr>
      <t xml:space="preserve">Mentionner les faits marquants de l'exercice, </t>
    </r>
    <r>
      <rPr>
        <i/>
        <sz val="10"/>
        <color rgb="FF0D0D0D"/>
        <rFont val="Times New Roman"/>
        <family val="1"/>
      </rPr>
      <t>les subventions ayant fait l’objet d’une restitution doivent être mentionnées dans cette rubrique ap</t>
    </r>
    <r>
      <rPr>
        <i/>
        <sz val="10"/>
        <color rgb="FF000000"/>
        <rFont val="Times New Roman"/>
        <family val="1"/>
      </rPr>
      <t>rès la déclaration de conformité ;</t>
    </r>
  </si>
  <si>
    <r>
      <t xml:space="preserve">●       </t>
    </r>
    <r>
      <rPr>
        <i/>
        <sz val="10"/>
        <color rgb="FF000000"/>
        <rFont val="Times New Roman"/>
        <family val="1"/>
      </rPr>
      <t>Seuls les éléments ayant une incidence comptable significative ou qui nuisent à la comparabilité des exercices doivent  être mentionnés (par exemples : des modifications significatives concernant une convention avec un bailleur, la création ou la suppression d’une nouvelle activité de l’entité…) ;</t>
    </r>
  </si>
  <si>
    <r>
      <t xml:space="preserve">●        </t>
    </r>
    <r>
      <rPr>
        <i/>
        <sz val="10"/>
        <color rgb="FF000000"/>
        <rFont val="Times New Roman"/>
        <family val="1"/>
      </rPr>
      <t>Décrire les règles et méthodes utilisées pour l'établissement des états financiers.</t>
    </r>
  </si>
  <si>
    <r>
      <t xml:space="preserve">      </t>
    </r>
    <r>
      <rPr>
        <b/>
        <sz val="11"/>
        <color theme="1"/>
        <rFont val="Times New Roman"/>
        <family val="1"/>
      </rPr>
      <t>Commentaire :</t>
    </r>
  </si>
  <si>
    <r>
      <t xml:space="preserve">     </t>
    </r>
    <r>
      <rPr>
        <b/>
        <sz val="11"/>
        <color theme="1"/>
        <rFont val="Times New Roman"/>
        <family val="1"/>
      </rPr>
      <t xml:space="preserve"> Commentaire :</t>
    </r>
  </si>
  <si>
    <r>
      <t xml:space="preserve"> </t>
    </r>
    <r>
      <rPr>
        <b/>
        <sz val="11"/>
        <color theme="1"/>
        <rFont val="Times New Roman"/>
        <family val="1"/>
      </rPr>
      <t xml:space="preserve"> B- EVENEMENTS POSTERIEURS A LA DATE DE CLOTURE NE DONNANT PAS LIEU A DES AJUSTEMENTS DES ETATS FINANCIERS</t>
    </r>
  </si>
  <si>
    <r>
      <t>Commentaire :</t>
    </r>
    <r>
      <rPr>
        <sz val="11"/>
        <color rgb="FF000000"/>
        <rFont val="Times New Roman"/>
        <family val="1"/>
      </rPr>
      <t xml:space="preserve"> </t>
    </r>
  </si>
  <si>
    <r>
      <t>●      L’entité doit indiquer l’impact du changement de réglementation comptable (par exemple lors du passage</t>
    </r>
    <r>
      <rPr>
        <sz val="11"/>
        <color rgb="FF0D0D0D"/>
        <rFont val="Times New Roman"/>
        <family val="1"/>
      </rPr>
      <t xml:space="preserve"> au Système comptable des entités à but non lucratif </t>
    </r>
    <r>
      <rPr>
        <sz val="11"/>
        <color theme="1"/>
        <rFont val="Times New Roman"/>
        <family val="1"/>
      </rPr>
      <t xml:space="preserve">déterminé à l’ouverture en précisant les postes concernés); </t>
    </r>
  </si>
  <si>
    <r>
      <t xml:space="preserve">Commentaire : </t>
    </r>
    <r>
      <rPr>
        <sz val="11"/>
        <color rgb="FF000000"/>
        <rFont val="Times New Roman"/>
        <family val="1"/>
      </rPr>
      <t>l’entité doit indiquer et justifier le changement d’estimation.</t>
    </r>
  </si>
  <si>
    <r>
      <t>●      L’entité doit indiquer la nature des erreurs corrigées (erreurs commises et découvertes sur l’exercice en cours</t>
    </r>
    <r>
      <rPr>
        <b/>
        <sz val="11"/>
        <color rgb="FF00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et erreurs d’un exercice antérieur) ;</t>
    </r>
  </si>
  <si>
    <r>
      <t xml:space="preserve">          </t>
    </r>
    <r>
      <rPr>
        <b/>
        <sz val="11"/>
        <color theme="1"/>
        <rFont val="Times New Roman"/>
        <family val="1"/>
      </rPr>
      <t xml:space="preserve"> SITUATIONS ET MOUVEMENTS</t>
    </r>
  </si>
  <si>
    <r>
      <t xml:space="preserve"> </t>
    </r>
    <r>
      <rPr>
        <b/>
        <sz val="10"/>
        <color theme="1"/>
        <rFont val="Times New Roman"/>
        <family val="1"/>
      </rPr>
      <t>Commentaires :</t>
    </r>
  </si>
  <si>
    <t>NATURE DU CONTRAT ( I ; M ; A)  [¹]</t>
  </si>
  <si>
    <r>
      <t xml:space="preserve"> </t>
    </r>
    <r>
      <rPr>
        <i/>
        <sz val="10"/>
        <color theme="1"/>
        <rFont val="Times New Roman"/>
        <family val="1"/>
      </rPr>
      <t>[¹]: Crédit-bail immobilier; M: Crédit bail mobilier; A: Autres contrats (dédoubler le poste si montant significatifs)</t>
    </r>
  </si>
  <si>
    <r>
      <rPr>
        <b/>
        <i/>
        <sz val="10"/>
        <color theme="1"/>
        <rFont val="Times New Roman"/>
        <family val="1"/>
      </rPr>
      <t>COMMENTAIRE:</t>
    </r>
    <r>
      <rPr>
        <i/>
        <sz val="10"/>
        <color theme="1"/>
        <rFont val="Times New Roman"/>
        <family val="1"/>
      </rPr>
      <t xml:space="preserve"> indiquer la nature du bien, le nom du bailleur et la durée du bail.</t>
    </r>
  </si>
  <si>
    <t>Amortissements et dépréciations cumulés à l'ouverture de l'exercice</t>
  </si>
  <si>
    <r>
      <t xml:space="preserve">          </t>
    </r>
    <r>
      <rPr>
        <b/>
        <i/>
        <sz val="10"/>
        <color theme="1"/>
        <rFont val="Times New Roman"/>
        <family val="1"/>
      </rPr>
      <t>Commentaire: Indiquer</t>
    </r>
    <r>
      <rPr>
        <sz val="11"/>
        <color theme="1"/>
        <rFont val="Times New Roman"/>
        <family val="1"/>
      </rPr>
      <t xml:space="preserve"> ;</t>
    </r>
  </si>
  <si>
    <r>
      <t xml:space="preserve"> </t>
    </r>
    <r>
      <rPr>
        <b/>
        <sz val="11"/>
        <color theme="1"/>
        <rFont val="Times New Roman"/>
        <family val="1"/>
      </rPr>
      <t xml:space="preserve"> Commentaire :</t>
    </r>
  </si>
  <si>
    <r>
      <rPr>
        <b/>
        <i/>
        <sz val="10"/>
        <color theme="1"/>
        <rFont val="Times New Roman"/>
        <family val="1"/>
      </rPr>
      <t>Commentaire</t>
    </r>
    <r>
      <rPr>
        <i/>
        <sz val="10"/>
        <color theme="1"/>
        <rFont val="Times New Roman"/>
        <family val="1"/>
      </rPr>
      <t xml:space="preserve"> : mentionner la justification de la cession ainsi que la date d'acquisition et la date de sortie.</t>
    </r>
  </si>
  <si>
    <r>
      <t xml:space="preserve">·         </t>
    </r>
    <r>
      <rPr>
        <i/>
        <sz val="10"/>
        <color theme="1"/>
        <rFont val="Times New Roman"/>
        <family val="1"/>
      </rPr>
      <t xml:space="preserve">Justifier toute variation significative </t>
    </r>
  </si>
  <si>
    <r>
      <t xml:space="preserve">·         </t>
    </r>
    <r>
      <rPr>
        <i/>
        <sz val="10"/>
        <color theme="1"/>
        <rFont val="Times New Roman"/>
        <family val="1"/>
      </rPr>
      <t>Commenter toutes les créances anciennes indiquées ;</t>
    </r>
  </si>
  <si>
    <r>
      <t xml:space="preserve">·         </t>
    </r>
    <r>
      <rPr>
        <i/>
        <sz val="10"/>
        <color theme="1"/>
        <rFont val="Times New Roman"/>
        <family val="1"/>
      </rPr>
      <t>Indiquer le nombre et la date d’acquisition des actions ou des parts ;</t>
    </r>
  </si>
  <si>
    <r>
      <t xml:space="preserve">·         </t>
    </r>
    <r>
      <rPr>
        <i/>
        <sz val="10"/>
        <color theme="1"/>
        <rFont val="Times New Roman"/>
        <family val="1"/>
      </rPr>
      <t>Dépréciations : indiquer les évènements et les circonstances qui ont motivé la dépréciation ou la reprise.</t>
    </r>
  </si>
  <si>
    <r>
      <t>·        </t>
    </r>
    <r>
      <rPr>
        <i/>
        <sz val="10"/>
        <color theme="1"/>
        <rFont val="Times New Roman"/>
        <family val="1"/>
      </rPr>
      <t>Dépréciations : indiquer les évènements et les circonstances qui ont motivé la dépréciation ou la reprise.</t>
    </r>
  </si>
  <si>
    <r>
      <t xml:space="preserve">·         </t>
    </r>
    <r>
      <rPr>
        <i/>
        <sz val="10"/>
        <color theme="1"/>
        <rFont val="Times New Roman"/>
        <family val="1"/>
      </rPr>
      <t>Indiquer la date et la nature de l’immobilisation achevée et ou cédée ;</t>
    </r>
  </si>
  <si>
    <r>
      <t xml:space="preserve">·         </t>
    </r>
    <r>
      <rPr>
        <i/>
        <sz val="10"/>
        <color theme="1"/>
        <rFont val="Times New Roman"/>
        <family val="1"/>
      </rPr>
      <t>Expliquer toute variation significative.</t>
    </r>
  </si>
  <si>
    <r>
      <t>Commentaire</t>
    </r>
    <r>
      <rPr>
        <i/>
        <sz val="10"/>
        <color rgb="FF000000"/>
        <rFont val="Times New Roman"/>
        <family val="1"/>
      </rPr>
      <t xml:space="preserve"> : </t>
    </r>
  </si>
  <si>
    <r>
      <t xml:space="preserve">●         </t>
    </r>
    <r>
      <rPr>
        <i/>
        <sz val="10"/>
        <color rgb="FF000000"/>
        <rFont val="Times New Roman"/>
        <family val="1"/>
      </rPr>
      <t>Indiquer la date de prise d'inventaire et décrire brièvement la procédure les méthodes comptables adoptées pour évaluer le stock ;</t>
    </r>
  </si>
  <si>
    <r>
      <t xml:space="preserve">●         </t>
    </r>
    <r>
      <rPr>
        <i/>
        <sz val="10"/>
        <color rgb="FF000000"/>
        <rFont val="Times New Roman"/>
        <family val="1"/>
      </rPr>
      <t>Commenter toute variation significative des stocks ;</t>
    </r>
  </si>
  <si>
    <r>
      <t xml:space="preserve">●         </t>
    </r>
    <r>
      <rPr>
        <i/>
        <sz val="10"/>
        <color rgb="FF000000"/>
        <rFont val="Times New Roman"/>
        <family val="1"/>
      </rPr>
      <t>Indiquer le détail des stocks dépréciés ainsi que les événements et les circonstances qui ont conduit à la dépréciation et à la reprise.</t>
    </r>
  </si>
  <si>
    <r>
      <t xml:space="preserve">●         </t>
    </r>
    <r>
      <rPr>
        <i/>
        <sz val="10"/>
        <color theme="1"/>
        <rFont val="Times New Roman"/>
        <family val="1"/>
      </rPr>
      <t>Commenter toute variation significative;</t>
    </r>
  </si>
  <si>
    <r>
      <t xml:space="preserve">●         </t>
    </r>
    <r>
      <rPr>
        <i/>
        <sz val="10"/>
        <color theme="1"/>
        <rFont val="Times New Roman"/>
        <family val="1"/>
      </rPr>
      <t>Commenter les créances anciennes.</t>
    </r>
  </si>
  <si>
    <r>
      <t xml:space="preserve">●         </t>
    </r>
    <r>
      <rPr>
        <i/>
        <sz val="10"/>
        <color theme="1"/>
        <rFont val="Times New Roman"/>
        <family val="1"/>
      </rPr>
      <t> Indiquer les evenements et les circonstances qui ont conduit à la reprise.</t>
    </r>
  </si>
  <si>
    <t>CHARGES DES ACTIVITES ORDINAIRES (Somme TA à TL)</t>
  </si>
  <si>
    <t xml:space="preserve"> - Autres décaissements</t>
  </si>
  <si>
    <t>Brets, liences,et droits similiaires</t>
  </si>
  <si>
    <t>E= A+ B - C</t>
  </si>
  <si>
    <t>Dépréciations des titres de participation</t>
  </si>
  <si>
    <t>Cartes de crédit à encaisser</t>
  </si>
  <si>
    <t>TOTAL BAILLEURS FONDS D’ADMINISTATION</t>
  </si>
  <si>
    <t>Quote-part de la dotation consomptible transférée</t>
  </si>
  <si>
    <t xml:space="preserve">TOTAL : ACHATS DE MARCHANDISES ET MATIERES PREMIERES </t>
  </si>
  <si>
    <t>TABLEAU SUIVI EXECUTION BUDGET DU…………AU……………..</t>
  </si>
  <si>
    <t>Code</t>
  </si>
  <si>
    <t>Budget de l'exercice</t>
  </si>
  <si>
    <t>Crédit disponible</t>
  </si>
  <si>
    <t>4=2+3</t>
  </si>
  <si>
    <t>5=1-4</t>
  </si>
  <si>
    <t>DIRECTION GENERALE DES IMPOTS</t>
  </si>
  <si>
    <r>
      <t xml:space="preserve">      </t>
    </r>
    <r>
      <rPr>
        <b/>
        <u/>
        <sz val="11"/>
        <rFont val="Arial"/>
        <family val="2"/>
      </rPr>
      <t xml:space="preserve">                                                </t>
    </r>
  </si>
  <si>
    <t xml:space="preserve">      </t>
  </si>
  <si>
    <t>EXERCICE CLOS LE :</t>
  </si>
  <si>
    <t>DESIGNATION DE L'ENTITE</t>
  </si>
  <si>
    <r>
      <t xml:space="preserve">     </t>
    </r>
    <r>
      <rPr>
        <b/>
        <u/>
        <sz val="11"/>
        <rFont val="Arial"/>
        <family val="2"/>
      </rPr>
      <t xml:space="preserve">                   </t>
    </r>
  </si>
  <si>
    <r>
      <rPr>
        <sz val="11"/>
        <rFont val="Arial"/>
        <family val="2"/>
      </rPr>
      <t xml:space="preserve"> DENOMINATION SOCIALE :</t>
    </r>
    <r>
      <rPr>
        <b/>
        <sz val="11"/>
        <rFont val="Arial"/>
        <family val="2"/>
      </rPr>
      <t xml:space="preserve"> </t>
    </r>
  </si>
  <si>
    <t xml:space="preserve">       (ou nom et prénoms de l'exploitant)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</si>
  <si>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</si>
  <si>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r>
      <t xml:space="preserve"> SIGLE USUEL : 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 xml:space="preserve">                                           </t>
    </r>
  </si>
  <si>
    <t xml:space="preserve">ADRESSE COMPLETE : </t>
  </si>
  <si>
    <t>Documents déposés</t>
  </si>
  <si>
    <t>Réservé à la Direction Générale des Impôts</t>
  </si>
  <si>
    <t>Date de dépôt</t>
  </si>
  <si>
    <t>Fiche d'identification et renseignements divers</t>
  </si>
  <si>
    <t>X</t>
  </si>
  <si>
    <t>Bilan</t>
  </si>
  <si>
    <t>Compte de résultat</t>
  </si>
  <si>
    <t>Tableau des flux et trésorerie</t>
  </si>
  <si>
    <t>Nom de l'agent de la DGI ayant réceptionné le dépôt</t>
  </si>
  <si>
    <t>Notes annexées</t>
  </si>
  <si>
    <t>Nombre de pages déposées par exemplaire</t>
  </si>
  <si>
    <t>Signature de l'agent et cachet du service</t>
  </si>
  <si>
    <t>Nombre d'exemplaires déposés</t>
  </si>
  <si>
    <t>REPUBLIQUE DU BENIN</t>
  </si>
  <si>
    <t> </t>
  </si>
  <si>
    <t xml:space="preserve">ETATS FINANCIERS DES ASSOCIATIONS, FONDATIONS ET ASSIMILEES </t>
  </si>
  <si>
    <t>SYSTEME NORMAL POUR LES ASSOCIATIONS ET ORDRE PROFESSIONNELS</t>
  </si>
  <si>
    <r>
      <t xml:space="preserve">SYSTÈME COMPTABLE DES ENTITES </t>
    </r>
    <r>
      <rPr>
        <b/>
        <sz val="11"/>
        <rFont val="Calibri"/>
        <family val="2"/>
      </rPr>
      <t>À</t>
    </r>
    <r>
      <rPr>
        <b/>
        <sz val="11"/>
        <rFont val="Arial"/>
        <family val="2"/>
      </rPr>
      <t xml:space="preserve"> BUT NON LUCRATIF (SYSCEBNL)</t>
    </r>
  </si>
  <si>
    <t xml:space="preserve">             MINISTERE DE L'ECONOMIE DES FINANCES </t>
  </si>
  <si>
    <t xml:space="preserve">Code </t>
  </si>
  <si>
    <t xml:space="preserve">Budget de l'exercice </t>
  </si>
  <si>
    <t>Crédit Disponible</t>
  </si>
  <si>
    <t>4= 2+3</t>
  </si>
  <si>
    <t>5= 1-4</t>
  </si>
  <si>
    <t>TABLEAU SUIVI EXECITION BUDGET DU 01/01/2025AU 31/12/2025</t>
  </si>
  <si>
    <t xml:space="preserve">  </t>
  </si>
  <si>
    <t>Les états financiers ont été confectionnés  dans le respect des conventions,des postulats et des règles d'évaluation édictés par le SYCEBNL et l'Acte Uniforme.</t>
  </si>
  <si>
    <t>Respect de tous les postulats et conventions comptables sans aucune dérogation</t>
  </si>
  <si>
    <t>Au titre de l'exercice 2025, BTP a acquis un ordinateur HP dans le cadre du fonctionnement de l'association</t>
  </si>
  <si>
    <t>Amortissement linéaire des immobilisations au taux de 20%</t>
  </si>
  <si>
    <r>
      <rPr>
        <sz val="10"/>
        <color theme="1"/>
        <rFont val="Times New Roman"/>
        <family val="1"/>
      </rPr>
      <t xml:space="preserve">     •</t>
    </r>
    <r>
      <rPr>
        <i/>
        <sz val="10"/>
        <color theme="1"/>
        <rFont val="Times New Roman"/>
        <family val="1"/>
      </rPr>
      <t xml:space="preserve">           </t>
    </r>
    <r>
      <rPr>
        <sz val="10"/>
        <color theme="1"/>
        <rFont val="Times New Roman"/>
        <family val="1"/>
      </rPr>
      <t>Le dernier raprrochement à eu lieu en janvier 2026</t>
    </r>
  </si>
  <si>
    <r>
      <t xml:space="preserve">     •         </t>
    </r>
    <r>
      <rPr>
        <sz val="10"/>
        <color theme="1"/>
        <rFont val="Times New Roman"/>
        <family val="1"/>
      </rPr>
      <t>Le BTP a deux comptes bancaires: un compte compte principal et un sous compte à BSIC Bank</t>
    </r>
  </si>
  <si>
    <r>
      <t xml:space="preserve">              </t>
    </r>
    <r>
      <rPr>
        <sz val="10"/>
        <color theme="1"/>
        <rFont val="Times New Roman"/>
        <family val="1"/>
      </rPr>
      <t xml:space="preserve"> Le solde du compte principal est de 98 359 735FCFA et cului du sous compte est de 15 640FCFA</t>
    </r>
  </si>
  <si>
    <t>Le report a nouveau a été dimunier de 229 000 FCFA representant  le solde des fonds de l'année 2023 envoyé au CVO mais qui n'était pas pris encompte dans les état de 2024 ( ecart entre le point CVO au 31/12/2024 et 30/09/2024)</t>
  </si>
  <si>
    <t xml:space="preserve">Le resultat net de l'année 2024 d' un montant de 31 717 405FCFA à été affecté dans le repport à nouveau </t>
  </si>
  <si>
    <t xml:space="preserve">La somme de 162 000FCFA représente une partie des frais de prestations de de Marleine CHAPON de 2025  </t>
  </si>
  <si>
    <t>FNP 500 000FCFA honoraire du commissaire aux compte pour la certification des états financiers 2025</t>
  </si>
  <si>
    <t>le sode de ce compte represente les differentes prestations dans le cadre de l'organisation du Meet up 2025 et la rémunération de la Deleguée Génerale au titre de l'année 2025</t>
  </si>
  <si>
    <t>le solde de ce compte represente les activité du comité impact en 2025 avec BENIN EXCELLENCE</t>
  </si>
  <si>
    <t>BTP</t>
  </si>
  <si>
    <t>12eme arrondissement ,Qtier les Cocotiers ,Immeuble sèmè one</t>
  </si>
  <si>
    <t>Trésorerie nette au 31 Décembre ( G+A) -59 731 017                        (Contrôle : Trésorerie actif N - Trésorerie passif N ) 98 375 375</t>
  </si>
  <si>
    <t>La somme de 12 791 669FCFA représente le montant des cotisations annuelle des membres de BTP</t>
  </si>
  <si>
    <t>La somme de 112 035 596FCFA repreésente le montant des subventions reçu des partenaires BTP au titre de l'année</t>
  </si>
  <si>
    <t>le solde de ce compte represente le montant des billets d'avions pour le deplacement  des membres du BTP pour le meet up 2025 mobilisé par l'association</t>
  </si>
  <si>
    <t>CENTRE DES IMPOTS DU CIPE3 CHAMP DE FOIRE</t>
  </si>
  <si>
    <r>
      <t xml:space="preserve">N° D'IDENTIFICATION FISCALE :     </t>
    </r>
    <r>
      <rPr>
        <b/>
        <sz val="14"/>
        <rFont val="Arial"/>
        <family val="2"/>
      </rPr>
      <t xml:space="preserve">6202353567270  </t>
    </r>
  </si>
  <si>
    <t>Date d'arrêté des états financiers: …………31/12/2025……………………….</t>
  </si>
  <si>
    <t>Meet up 2025</t>
  </si>
  <si>
    <t>salaire consultante</t>
  </si>
  <si>
    <t>Espace coworking</t>
  </si>
  <si>
    <t>L'association ne dispose pas pour le moment de personnel</t>
  </si>
  <si>
    <t>Honnoraire du CAC</t>
  </si>
  <si>
    <t>En ce qui concerne l'exercice N-1, le montant de 577 255 inscrit au bilan est le solde net du compte fournisseur crediteur et du compte fournisseur débiteur (1 540 791 - 963 536)</t>
  </si>
  <si>
    <t>Les autres achats et les achat represente le montant des depenses liée à l'activité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</si>
</sst>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€_-;\-* #,##0.00\ _€_-;_-* &quot;-&quot;??\ _€_-;_-@_-"/>
    <numFmt numFmtId="164" formatCode="_-* #,##0_-;\-* #,##0_-;_-* &quot;-&quot;_-;_-@_-"/>
    <numFmt numFmtId="165" formatCode="_-* #,##0.00_-;\-* #,##0.00_-;_-* &quot;-&quot;??_-;_-@_-"/>
    <numFmt numFmtId="166" formatCode="_ * #,##0.00_)_ ;_ * \(#,##0.00\)_ ;_ * &quot;-&quot;??_)_ ;_ @_ "/>
  </numFmts>
  <fonts count="58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0D0D0D"/>
      <name val="Times New Roman"/>
      <family val="1"/>
    </font>
    <font>
      <sz val="10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rgb="FF000000"/>
      <name val="Times New Roman"/>
      <family val="1"/>
    </font>
    <font>
      <sz val="11"/>
      <color theme="3" tint="-0.499984740745262"/>
      <name val="Times New Roman"/>
      <family val="1"/>
    </font>
    <font>
      <sz val="11"/>
      <color theme="0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0" tint="-0.14999847407452621"/>
      <name val="Times New Roman"/>
      <family val="1"/>
    </font>
    <font>
      <sz val="11"/>
      <color theme="0" tint="-4.9989318521683403E-2"/>
      <name val="Times New Roman"/>
      <family val="1"/>
    </font>
    <font>
      <b/>
      <i/>
      <sz val="9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FFFFFF"/>
      <name val="Times New Roman"/>
      <family val="1"/>
    </font>
    <font>
      <i/>
      <sz val="11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b/>
      <sz val="1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8"/>
      <color theme="0"/>
      <name val="Times New Roman"/>
      <family val="1"/>
    </font>
    <font>
      <b/>
      <sz val="11"/>
      <color theme="9"/>
      <name val="Times New Roman"/>
      <family val="1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0"/>
      <name val="Times New Roman"/>
      <family val="1"/>
    </font>
    <font>
      <sz val="10"/>
      <color rgb="FF000000"/>
      <name val="Times New Roman"/>
      <family val="1"/>
    </font>
    <font>
      <i/>
      <sz val="10"/>
      <color rgb="FF0D0D0D"/>
      <name val="Times New Roman"/>
      <family val="1"/>
    </font>
    <font>
      <sz val="11"/>
      <color rgb="FF0D0D0D"/>
      <name val="Times New Roman"/>
      <family val="1"/>
    </font>
    <font>
      <b/>
      <sz val="11"/>
      <color theme="2" tint="-9.9978637043366805E-2"/>
      <name val="Times New Roman"/>
      <family val="1"/>
    </font>
    <font>
      <sz val="11"/>
      <color theme="2" tint="-9.9978637043366805E-2"/>
      <name val="Times New Roman"/>
      <family val="1"/>
    </font>
    <font>
      <sz val="9"/>
      <color theme="0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sz val="16"/>
      <color theme="1"/>
      <name val="Arial Black"/>
      <family val="2"/>
    </font>
    <font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b/>
      <sz val="1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lightUp">
        <bgColor theme="3" tint="0.3999450666829432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indexed="64"/>
      </patternFill>
    </fill>
    <fill>
      <patternFill patternType="lightUp">
        <bgColor theme="3" tint="0.59999389629810485"/>
      </patternFill>
    </fill>
    <fill>
      <patternFill patternType="lightUp">
        <bgColor theme="0"/>
      </patternFill>
    </fill>
    <fill>
      <patternFill patternType="lightUp"/>
    </fill>
    <fill>
      <patternFill patternType="lightUp">
        <bgColor theme="3" tint="0.39997558519241921"/>
      </patternFill>
    </fill>
    <fill>
      <patternFill patternType="solid">
        <fgColor rgb="FF9BC2E6"/>
        <bgColor indexed="64"/>
      </patternFill>
    </fill>
    <fill>
      <patternFill patternType="lightUp">
        <bgColor auto="1"/>
      </patternFill>
    </fill>
    <fill>
      <patternFill patternType="lightDown">
        <bgColor theme="0"/>
      </patternFill>
    </fill>
    <fill>
      <patternFill patternType="mediumGray">
        <bgColor theme="3" tint="0.79998168889431442"/>
      </patternFill>
    </fill>
    <fill>
      <patternFill patternType="lightGray">
        <bgColor theme="3" tint="0.79995117038483843"/>
      </patternFill>
    </fill>
    <fill>
      <patternFill patternType="lightUp">
        <bgColor theme="3" tint="0.79995117038483843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D0D0D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dashDotDot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43" fontId="42" fillId="0" borderId="0" applyFont="0" applyFill="0" applyBorder="0" applyAlignment="0" applyProtection="0"/>
    <xf numFmtId="165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42" fillId="0" borderId="0" applyFont="0" applyFill="0" applyBorder="0" applyAlignment="0" applyProtection="0"/>
  </cellStyleXfs>
  <cellXfs count="65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5" xfId="0" applyFont="1" applyBorder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7" fillId="12" borderId="1" xfId="0" applyFont="1" applyFill="1" applyBorder="1" applyAlignment="1">
      <alignment horizontal="right" vertical="center"/>
    </xf>
    <xf numFmtId="0" fontId="6" fillId="12" borderId="1" xfId="0" applyFont="1" applyFill="1" applyBorder="1" applyAlignment="1">
      <alignment vertical="center"/>
    </xf>
    <xf numFmtId="0" fontId="8" fillId="14" borderId="1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6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7" fillId="12" borderId="1" xfId="0" applyFont="1" applyFill="1" applyBorder="1" applyAlignment="1">
      <alignment horizontal="right"/>
    </xf>
    <xf numFmtId="0" fontId="6" fillId="12" borderId="1" xfId="0" applyFont="1" applyFill="1" applyBorder="1"/>
    <xf numFmtId="0" fontId="6" fillId="13" borderId="1" xfId="0" applyFont="1" applyFill="1" applyBorder="1"/>
    <xf numFmtId="0" fontId="10" fillId="22" borderId="1" xfId="0" applyFont="1" applyFill="1" applyBorder="1"/>
    <xf numFmtId="0" fontId="8" fillId="14" borderId="4" xfId="0" applyFont="1" applyFill="1" applyBorder="1" applyAlignment="1">
      <alignment horizontal="right"/>
    </xf>
    <xf numFmtId="0" fontId="10" fillId="13" borderId="1" xfId="0" applyFont="1" applyFill="1" applyBorder="1"/>
    <xf numFmtId="0" fontId="1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indent="5"/>
    </xf>
    <xf numFmtId="0" fontId="6" fillId="0" borderId="1" xfId="0" applyFont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right"/>
    </xf>
    <xf numFmtId="0" fontId="6" fillId="7" borderId="1" xfId="0" applyFont="1" applyFill="1" applyBorder="1"/>
    <xf numFmtId="0" fontId="8" fillId="14" borderId="1" xfId="0" applyFont="1" applyFill="1" applyBorder="1"/>
    <xf numFmtId="0" fontId="8" fillId="14" borderId="1" xfId="0" applyFont="1" applyFill="1" applyBorder="1" applyAlignment="1">
      <alignment horizontal="right"/>
    </xf>
    <xf numFmtId="0" fontId="7" fillId="0" borderId="0" xfId="0" applyFont="1"/>
    <xf numFmtId="0" fontId="7" fillId="9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right" vertical="top"/>
    </xf>
    <xf numFmtId="0" fontId="14" fillId="0" borderId="0" xfId="0" applyFont="1"/>
    <xf numFmtId="0" fontId="13" fillId="0" borderId="0" xfId="0" applyFont="1"/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16" fillId="0" borderId="1" xfId="0" applyFont="1" applyBorder="1"/>
    <xf numFmtId="0" fontId="17" fillId="23" borderId="1" xfId="0" applyFont="1" applyFill="1" applyBorder="1"/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19" fillId="14" borderId="1" xfId="0" applyFont="1" applyFill="1" applyBorder="1"/>
    <xf numFmtId="0" fontId="8" fillId="14" borderId="1" xfId="0" applyFont="1" applyFill="1" applyBorder="1" applyAlignment="1">
      <alignment horizontal="left" wrapText="1"/>
    </xf>
    <xf numFmtId="0" fontId="11" fillId="14" borderId="1" xfId="0" applyFont="1" applyFill="1" applyBorder="1" applyAlignment="1">
      <alignment wrapText="1"/>
    </xf>
    <xf numFmtId="0" fontId="11" fillId="14" borderId="1" xfId="0" applyFont="1" applyFill="1" applyBorder="1"/>
    <xf numFmtId="0" fontId="11" fillId="13" borderId="1" xfId="0" applyFont="1" applyFill="1" applyBorder="1"/>
    <xf numFmtId="0" fontId="20" fillId="0" borderId="0" xfId="0" applyFont="1"/>
    <xf numFmtId="0" fontId="7" fillId="12" borderId="1" xfId="0" applyFont="1" applyFill="1" applyBorder="1"/>
    <xf numFmtId="0" fontId="18" fillId="14" borderId="1" xfId="0" applyFont="1" applyFill="1" applyBorder="1"/>
    <xf numFmtId="0" fontId="12" fillId="0" borderId="0" xfId="0" applyFont="1" applyAlignment="1">
      <alignment horizontal="left" indent="2"/>
    </xf>
    <xf numFmtId="0" fontId="6" fillId="13" borderId="8" xfId="0" applyFont="1" applyFill="1" applyBorder="1"/>
    <xf numFmtId="0" fontId="8" fillId="14" borderId="1" xfId="0" applyFont="1" applyFill="1" applyBorder="1" applyAlignment="1">
      <alignment wrapText="1"/>
    </xf>
    <xf numFmtId="0" fontId="11" fillId="0" borderId="0" xfId="0" applyFont="1"/>
    <xf numFmtId="0" fontId="11" fillId="15" borderId="0" xfId="0" applyFont="1" applyFill="1"/>
    <xf numFmtId="0" fontId="8" fillId="15" borderId="19" xfId="0" applyFont="1" applyFill="1" applyBorder="1" applyAlignment="1">
      <alignment wrapText="1"/>
    </xf>
    <xf numFmtId="0" fontId="15" fillId="0" borderId="0" xfId="0" applyFont="1" applyAlignment="1">
      <alignment wrapText="1"/>
    </xf>
    <xf numFmtId="0" fontId="9" fillId="2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right" wrapText="1"/>
    </xf>
    <xf numFmtId="0" fontId="6" fillId="18" borderId="1" xfId="0" applyFont="1" applyFill="1" applyBorder="1"/>
    <xf numFmtId="0" fontId="8" fillId="15" borderId="0" xfId="0" applyFont="1" applyFill="1"/>
    <xf numFmtId="0" fontId="6" fillId="15" borderId="0" xfId="0" applyFont="1" applyFill="1"/>
    <xf numFmtId="0" fontId="12" fillId="0" borderId="0" xfId="0" applyFont="1" applyAlignment="1">
      <alignment wrapText="1"/>
    </xf>
    <xf numFmtId="0" fontId="14" fillId="0" borderId="0" xfId="0" applyFont="1" applyAlignment="1">
      <alignment vertical="center"/>
    </xf>
    <xf numFmtId="0" fontId="7" fillId="12" borderId="1" xfId="0" applyFont="1" applyFill="1" applyBorder="1" applyAlignment="1">
      <alignment vertical="center" wrapText="1"/>
    </xf>
    <xf numFmtId="0" fontId="12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12" borderId="1" xfId="0" applyFont="1" applyFill="1" applyBorder="1" applyAlignment="1">
      <alignment vertical="center"/>
    </xf>
    <xf numFmtId="0" fontId="9" fillId="21" borderId="1" xfId="0" applyFont="1" applyFill="1" applyBorder="1" applyAlignment="1">
      <alignment horizontal="center" vertical="center"/>
    </xf>
    <xf numFmtId="0" fontId="8" fillId="15" borderId="0" xfId="0" applyFont="1" applyFill="1" applyAlignment="1">
      <alignment horizontal="right" vertical="center"/>
    </xf>
    <xf numFmtId="0" fontId="6" fillId="15" borderId="0" xfId="0" applyFont="1" applyFill="1" applyAlignment="1">
      <alignment horizontal="right"/>
    </xf>
    <xf numFmtId="0" fontId="6" fillId="0" borderId="0" xfId="0" applyFont="1" applyAlignment="1">
      <alignment vertical="center" wrapText="1"/>
    </xf>
    <xf numFmtId="0" fontId="8" fillId="14" borderId="1" xfId="0" applyFont="1" applyFill="1" applyBorder="1" applyAlignment="1">
      <alignment vertical="center" wrapText="1"/>
    </xf>
    <xf numFmtId="0" fontId="8" fillId="14" borderId="1" xfId="0" applyFont="1" applyFill="1" applyBorder="1" applyAlignment="1">
      <alignment horizontal="right" wrapText="1"/>
    </xf>
    <xf numFmtId="0" fontId="6" fillId="0" borderId="0" xfId="0" applyFont="1" applyAlignment="1">
      <alignment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21" fillId="0" borderId="16" xfId="0" applyFont="1" applyBorder="1" applyAlignment="1">
      <alignment vertical="center" wrapText="1"/>
    </xf>
    <xf numFmtId="0" fontId="21" fillId="0" borderId="23" xfId="0" applyFont="1" applyBorder="1" applyAlignment="1">
      <alignment vertical="center"/>
    </xf>
    <xf numFmtId="0" fontId="22" fillId="14" borderId="16" xfId="0" applyFont="1" applyFill="1" applyBorder="1" applyAlignment="1">
      <alignment horizontal="right" vertical="center"/>
    </xf>
    <xf numFmtId="0" fontId="9" fillId="21" borderId="23" xfId="0" applyFont="1" applyFill="1" applyBorder="1" applyAlignment="1">
      <alignment horizontal="center" vertical="center"/>
    </xf>
    <xf numFmtId="0" fontId="21" fillId="0" borderId="1" xfId="0" applyFont="1" applyBorder="1" applyAlignment="1">
      <alignment vertical="center" wrapText="1"/>
    </xf>
    <xf numFmtId="0" fontId="8" fillId="14" borderId="1" xfId="0" applyFont="1" applyFill="1" applyBorder="1" applyAlignment="1">
      <alignment horizontal="right" vertical="center" wrapText="1"/>
    </xf>
    <xf numFmtId="0" fontId="24" fillId="0" borderId="0" xfId="0" applyFont="1" applyAlignment="1">
      <alignment vertical="center" wrapText="1"/>
    </xf>
    <xf numFmtId="0" fontId="21" fillId="0" borderId="1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9" fillId="15" borderId="1" xfId="0" applyFont="1" applyFill="1" applyBorder="1" applyAlignment="1">
      <alignment horizontal="center" vertical="center" wrapText="1"/>
    </xf>
    <xf numFmtId="0" fontId="21" fillId="15" borderId="3" xfId="0" applyFont="1" applyFill="1" applyBorder="1" applyAlignment="1">
      <alignment horizontal="left" vertical="center" wrapText="1"/>
    </xf>
    <xf numFmtId="0" fontId="11" fillId="14" borderId="1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9" fillId="21" borderId="3" xfId="0" applyFont="1" applyFill="1" applyBorder="1" applyAlignment="1">
      <alignment horizontal="left" wrapText="1"/>
    </xf>
    <xf numFmtId="0" fontId="9" fillId="21" borderId="5" xfId="0" applyFont="1" applyFill="1" applyBorder="1" applyAlignment="1">
      <alignment horizontal="center" vertical="center"/>
    </xf>
    <xf numFmtId="0" fontId="21" fillId="0" borderId="5" xfId="0" applyFont="1" applyBorder="1" applyAlignment="1">
      <alignment vertical="center"/>
    </xf>
    <xf numFmtId="0" fontId="9" fillId="21" borderId="24" xfId="0" applyFont="1" applyFill="1" applyBorder="1" applyAlignment="1">
      <alignment horizontal="center" vertical="center"/>
    </xf>
    <xf numFmtId="0" fontId="21" fillId="0" borderId="24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9" fillId="12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24" borderId="1" xfId="0" applyFont="1" applyFill="1" applyBorder="1" applyAlignment="1">
      <alignment horizontal="right" vertical="center"/>
    </xf>
    <xf numFmtId="0" fontId="21" fillId="24" borderId="1" xfId="0" applyFont="1" applyFill="1" applyBorder="1" applyAlignment="1">
      <alignment vertical="center"/>
    </xf>
    <xf numFmtId="0" fontId="21" fillId="24" borderId="24" xfId="0" applyFont="1" applyFill="1" applyBorder="1" applyAlignment="1">
      <alignment vertical="center"/>
    </xf>
    <xf numFmtId="0" fontId="21" fillId="24" borderId="5" xfId="0" applyFont="1" applyFill="1" applyBorder="1" applyAlignment="1">
      <alignment vertical="center"/>
    </xf>
    <xf numFmtId="0" fontId="9" fillId="25" borderId="1" xfId="0" applyFont="1" applyFill="1" applyBorder="1" applyAlignment="1">
      <alignment horizontal="right" vertical="center"/>
    </xf>
    <xf numFmtId="0" fontId="21" fillId="25" borderId="1" xfId="0" applyFont="1" applyFill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26" borderId="1" xfId="0" applyFont="1" applyFill="1" applyBorder="1" applyAlignment="1">
      <alignment vertical="center"/>
    </xf>
    <xf numFmtId="0" fontId="6" fillId="26" borderId="28" xfId="0" applyFont="1" applyFill="1" applyBorder="1"/>
    <xf numFmtId="0" fontId="6" fillId="26" borderId="6" xfId="0" applyFont="1" applyFill="1" applyBorder="1"/>
    <xf numFmtId="0" fontId="6" fillId="26" borderId="5" xfId="0" applyFont="1" applyFill="1" applyBorder="1"/>
    <xf numFmtId="0" fontId="6" fillId="26" borderId="1" xfId="0" applyFont="1" applyFill="1" applyBorder="1"/>
    <xf numFmtId="0" fontId="21" fillId="0" borderId="1" xfId="0" applyFont="1" applyBorder="1" applyAlignment="1">
      <alignment vertical="top" wrapText="1"/>
    </xf>
    <xf numFmtId="0" fontId="9" fillId="21" borderId="27" xfId="0" applyFont="1" applyFill="1" applyBorder="1" applyAlignment="1">
      <alignment horizontal="center" vertical="center"/>
    </xf>
    <xf numFmtId="0" fontId="9" fillId="21" borderId="24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vertical="center"/>
    </xf>
    <xf numFmtId="0" fontId="9" fillId="12" borderId="1" xfId="0" applyFont="1" applyFill="1" applyBorder="1" applyAlignment="1">
      <alignment horizontal="right" vertical="center" wrapText="1"/>
    </xf>
    <xf numFmtId="0" fontId="9" fillId="12" borderId="1" xfId="0" applyFont="1" applyFill="1" applyBorder="1" applyAlignment="1">
      <alignment vertical="center" wrapText="1"/>
    </xf>
    <xf numFmtId="0" fontId="21" fillId="15" borderId="1" xfId="0" applyFont="1" applyFill="1" applyBorder="1" applyAlignment="1">
      <alignment horizontal="left" vertical="center" wrapText="1"/>
    </xf>
    <xf numFmtId="0" fontId="21" fillId="1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5" borderId="1" xfId="0" applyFont="1" applyFill="1" applyBorder="1"/>
    <xf numFmtId="0" fontId="7" fillId="12" borderId="1" xfId="0" applyFont="1" applyFill="1" applyBorder="1" applyAlignment="1">
      <alignment horizontal="right" vertical="center" wrapText="1"/>
    </xf>
    <xf numFmtId="0" fontId="11" fillId="14" borderId="1" xfId="0" applyFont="1" applyFill="1" applyBorder="1" applyAlignment="1">
      <alignment horizontal="right"/>
    </xf>
    <xf numFmtId="0" fontId="12" fillId="0" borderId="0" xfId="0" applyFont="1" applyAlignment="1">
      <alignment vertical="center" wrapText="1"/>
    </xf>
    <xf numFmtId="0" fontId="21" fillId="12" borderId="5" xfId="0" applyFont="1" applyFill="1" applyBorder="1" applyAlignment="1">
      <alignment vertical="center"/>
    </xf>
    <xf numFmtId="0" fontId="21" fillId="12" borderId="24" xfId="0" applyFont="1" applyFill="1" applyBorder="1" applyAlignment="1">
      <alignment vertical="center"/>
    </xf>
    <xf numFmtId="0" fontId="6" fillId="0" borderId="1" xfId="0" applyFont="1" applyBorder="1" applyAlignment="1">
      <alignment horizontal="left"/>
    </xf>
    <xf numFmtId="0" fontId="6" fillId="0" borderId="19" xfId="0" applyFont="1" applyBorder="1"/>
    <xf numFmtId="0" fontId="7" fillId="7" borderId="1" xfId="0" applyFont="1" applyFill="1" applyBorder="1"/>
    <xf numFmtId="0" fontId="7" fillId="5" borderId="1" xfId="0" applyFont="1" applyFill="1" applyBorder="1"/>
    <xf numFmtId="0" fontId="27" fillId="12" borderId="1" xfId="0" applyFont="1" applyFill="1" applyBorder="1"/>
    <xf numFmtId="0" fontId="6" fillId="0" borderId="7" xfId="0" applyFont="1" applyBorder="1"/>
    <xf numFmtId="0" fontId="6" fillId="0" borderId="3" xfId="0" applyFont="1" applyBorder="1"/>
    <xf numFmtId="0" fontId="7" fillId="0" borderId="7" xfId="0" applyFont="1" applyBorder="1"/>
    <xf numFmtId="0" fontId="6" fillId="0" borderId="7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12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 wrapText="1"/>
    </xf>
    <xf numFmtId="0" fontId="28" fillId="0" borderId="0" xfId="0" applyFont="1"/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/>
    </xf>
    <xf numFmtId="0" fontId="28" fillId="0" borderId="1" xfId="0" applyFont="1" applyBorder="1"/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wrapText="1"/>
    </xf>
    <xf numFmtId="0" fontId="28" fillId="0" borderId="1" xfId="0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28" fillId="5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wrapText="1"/>
    </xf>
    <xf numFmtId="0" fontId="28" fillId="5" borderId="1" xfId="0" applyFont="1" applyFill="1" applyBorder="1" applyAlignment="1">
      <alignment horizontal="center" vertical="center" wrapText="1"/>
    </xf>
    <xf numFmtId="0" fontId="29" fillId="5" borderId="1" xfId="0" applyFont="1" applyFill="1" applyBorder="1"/>
    <xf numFmtId="0" fontId="29" fillId="5" borderId="1" xfId="0" applyFont="1" applyFill="1" applyBorder="1" applyAlignment="1">
      <alignment horizontal="left" vertical="center"/>
    </xf>
    <xf numFmtId="0" fontId="28" fillId="27" borderId="1" xfId="0" applyFont="1" applyFill="1" applyBorder="1" applyAlignment="1">
      <alignment horizontal="center" vertical="center"/>
    </xf>
    <xf numFmtId="0" fontId="28" fillId="14" borderId="1" xfId="0" applyFont="1" applyFill="1" applyBorder="1" applyAlignment="1">
      <alignment horizontal="center" vertical="center"/>
    </xf>
    <xf numFmtId="0" fontId="30" fillId="14" borderId="1" xfId="0" applyFont="1" applyFill="1" applyBorder="1"/>
    <xf numFmtId="0" fontId="30" fillId="1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left" vertical="center"/>
    </xf>
    <xf numFmtId="0" fontId="30" fillId="27" borderId="1" xfId="0" applyFont="1" applyFill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left" vertical="center" wrapText="1"/>
    </xf>
    <xf numFmtId="0" fontId="6" fillId="27" borderId="1" xfId="0" applyFont="1" applyFill="1" applyBorder="1"/>
    <xf numFmtId="0" fontId="6" fillId="27" borderId="1" xfId="0" applyFont="1" applyFill="1" applyBorder="1" applyAlignment="1">
      <alignment horizontal="left" vertical="center"/>
    </xf>
    <xf numFmtId="0" fontId="8" fillId="27" borderId="1" xfId="0" applyFont="1" applyFill="1" applyBorder="1" applyAlignment="1">
      <alignment horizontal="left" vertical="center" wrapText="1"/>
    </xf>
    <xf numFmtId="0" fontId="11" fillId="27" borderId="1" xfId="0" applyFont="1" applyFill="1" applyBorder="1" applyAlignment="1">
      <alignment wrapText="1"/>
    </xf>
    <xf numFmtId="0" fontId="6" fillId="7" borderId="1" xfId="0" applyFont="1" applyFill="1" applyBorder="1" applyAlignment="1">
      <alignment horizontal="center" vertical="center"/>
    </xf>
    <xf numFmtId="0" fontId="11" fillId="27" borderId="1" xfId="0" applyFont="1" applyFill="1" applyBorder="1"/>
    <xf numFmtId="0" fontId="6" fillId="15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wrapText="1"/>
    </xf>
    <xf numFmtId="0" fontId="6" fillId="7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8" borderId="27" xfId="0" applyFont="1" applyFill="1" applyBorder="1" applyAlignment="1">
      <alignment horizontal="center" vertical="center" wrapText="1"/>
    </xf>
    <xf numFmtId="0" fontId="6" fillId="0" borderId="27" xfId="0" applyFont="1" applyBorder="1"/>
    <xf numFmtId="0" fontId="6" fillId="0" borderId="24" xfId="0" applyFont="1" applyBorder="1"/>
    <xf numFmtId="0" fontId="8" fillId="1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7" fillId="8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wrapText="1"/>
    </xf>
    <xf numFmtId="0" fontId="6" fillId="1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0" borderId="5" xfId="0" applyFont="1" applyBorder="1"/>
    <xf numFmtId="0" fontId="34" fillId="0" borderId="0" xfId="0" applyFont="1"/>
    <xf numFmtId="0" fontId="34" fillId="0" borderId="0" xfId="0" applyFont="1" applyAlignment="1">
      <alignment wrapText="1"/>
    </xf>
    <xf numFmtId="0" fontId="34" fillId="0" borderId="0" xfId="0" applyFont="1" applyAlignment="1">
      <alignment horizontal="center"/>
    </xf>
    <xf numFmtId="0" fontId="32" fillId="0" borderId="1" xfId="0" applyFont="1" applyBorder="1" applyAlignment="1">
      <alignment horizontal="center"/>
    </xf>
    <xf numFmtId="0" fontId="34" fillId="0" borderId="1" xfId="0" applyFont="1" applyBorder="1" applyAlignment="1">
      <alignment horizontal="center" vertical="center"/>
    </xf>
    <xf numFmtId="0" fontId="34" fillId="0" borderId="1" xfId="0" applyFont="1" applyBorder="1"/>
    <xf numFmtId="0" fontId="34" fillId="0" borderId="1" xfId="0" applyFont="1" applyBorder="1" applyAlignment="1">
      <alignment horizontal="center"/>
    </xf>
    <xf numFmtId="0" fontId="34" fillId="0" borderId="1" xfId="0" applyFont="1" applyBorder="1" applyAlignment="1">
      <alignment wrapText="1"/>
    </xf>
    <xf numFmtId="0" fontId="34" fillId="5" borderId="1" xfId="0" applyFont="1" applyFill="1" applyBorder="1" applyAlignment="1">
      <alignment horizontal="center" vertical="center"/>
    </xf>
    <xf numFmtId="0" fontId="34" fillId="5" borderId="1" xfId="0" applyFont="1" applyFill="1" applyBorder="1"/>
    <xf numFmtId="0" fontId="34" fillId="5" borderId="1" xfId="0" applyFont="1" applyFill="1" applyBorder="1" applyAlignment="1">
      <alignment horizontal="center"/>
    </xf>
    <xf numFmtId="0" fontId="34" fillId="0" borderId="1" xfId="0" applyFont="1" applyBorder="1" applyAlignment="1">
      <alignment vertical="center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vertical="center"/>
    </xf>
    <xf numFmtId="0" fontId="32" fillId="8" borderId="1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wrapText="1"/>
    </xf>
    <xf numFmtId="0" fontId="32" fillId="8" borderId="1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wrapText="1"/>
    </xf>
    <xf numFmtId="0" fontId="34" fillId="15" borderId="1" xfId="0" applyFont="1" applyFill="1" applyBorder="1" applyAlignment="1">
      <alignment horizontal="center"/>
    </xf>
    <xf numFmtId="0" fontId="34" fillId="0" borderId="1" xfId="0" applyFont="1" applyBorder="1" applyAlignment="1">
      <alignment vertical="center" wrapText="1"/>
    </xf>
    <xf numFmtId="0" fontId="32" fillId="5" borderId="1" xfId="0" applyFont="1" applyFill="1" applyBorder="1" applyAlignment="1">
      <alignment vertical="center"/>
    </xf>
    <xf numFmtId="0" fontId="32" fillId="5" borderId="1" xfId="0" applyFont="1" applyFill="1" applyBorder="1"/>
    <xf numFmtId="0" fontId="35" fillId="14" borderId="1" xfId="0" applyFont="1" applyFill="1" applyBorder="1"/>
    <xf numFmtId="0" fontId="34" fillId="14" borderId="1" xfId="0" applyFont="1" applyFill="1" applyBorder="1"/>
    <xf numFmtId="0" fontId="35" fillId="14" borderId="1" xfId="0" applyFont="1" applyFill="1" applyBorder="1" applyAlignment="1">
      <alignment wrapText="1"/>
    </xf>
    <xf numFmtId="0" fontId="35" fillId="28" borderId="1" xfId="0" applyFont="1" applyFill="1" applyBorder="1"/>
    <xf numFmtId="0" fontId="35" fillId="28" borderId="1" xfId="0" applyFont="1" applyFill="1" applyBorder="1" applyAlignment="1">
      <alignment wrapText="1"/>
    </xf>
    <xf numFmtId="0" fontId="8" fillId="29" borderId="2" xfId="0" applyFont="1" applyFill="1" applyBorder="1" applyAlignment="1">
      <alignment horizontal="left" vertical="center" wrapText="1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11" fillId="27" borderId="2" xfId="0" applyFont="1" applyFill="1" applyBorder="1" applyAlignment="1">
      <alignment horizontal="left" vertical="top" wrapText="1"/>
    </xf>
    <xf numFmtId="0" fontId="8" fillId="27" borderId="3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vertical="center" wrapText="1"/>
    </xf>
    <xf numFmtId="0" fontId="7" fillId="11" borderId="1" xfId="0" applyFont="1" applyFill="1" applyBorder="1" applyAlignment="1">
      <alignment wrapText="1"/>
    </xf>
    <xf numFmtId="0" fontId="7" fillId="12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wrapText="1"/>
    </xf>
    <xf numFmtId="0" fontId="7" fillId="11" borderId="1" xfId="0" applyFont="1" applyFill="1" applyBorder="1"/>
    <xf numFmtId="0" fontId="6" fillId="7" borderId="1" xfId="0" applyFont="1" applyFill="1" applyBorder="1" applyAlignment="1">
      <alignment horizontal="center"/>
    </xf>
    <xf numFmtId="0" fontId="36" fillId="0" borderId="0" xfId="0" applyFont="1" applyAlignment="1">
      <alignment horizontal="left" vertical="center" wrapText="1" indent="5"/>
    </xf>
    <xf numFmtId="0" fontId="7" fillId="15" borderId="0" xfId="0" applyFont="1" applyFill="1" applyAlignment="1">
      <alignment horizontal="center" wrapText="1"/>
    </xf>
    <xf numFmtId="0" fontId="6" fillId="3" borderId="7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7" fillId="5" borderId="7" xfId="0" applyFont="1" applyFill="1" applyBorder="1" applyAlignment="1">
      <alignment wrapText="1"/>
    </xf>
    <xf numFmtId="0" fontId="6" fillId="5" borderId="1" xfId="0" applyFont="1" applyFill="1" applyBorder="1" applyAlignment="1">
      <alignment horizontal="left" vertical="top" wrapText="1"/>
    </xf>
    <xf numFmtId="0" fontId="6" fillId="15" borderId="2" xfId="0" applyFont="1" applyFill="1" applyBorder="1" applyAlignment="1">
      <alignment horizontal="left" vertical="top" wrapText="1"/>
    </xf>
    <xf numFmtId="0" fontId="6" fillId="15" borderId="7" xfId="0" applyFont="1" applyFill="1" applyBorder="1" applyAlignment="1">
      <alignment horizontal="left" vertical="top" wrapText="1"/>
    </xf>
    <xf numFmtId="0" fontId="6" fillId="15" borderId="3" xfId="0" applyFont="1" applyFill="1" applyBorder="1" applyAlignment="1">
      <alignment horizontal="left" vertical="top" wrapText="1"/>
    </xf>
    <xf numFmtId="0" fontId="7" fillId="0" borderId="2" xfId="0" applyFont="1" applyBorder="1" applyAlignment="1">
      <alignment wrapText="1"/>
    </xf>
    <xf numFmtId="0" fontId="7" fillId="16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vertical="center"/>
    </xf>
    <xf numFmtId="0" fontId="7" fillId="0" borderId="17" xfId="0" applyFont="1" applyBorder="1" applyAlignment="1">
      <alignment horizontal="left" vertical="center" indent="5"/>
    </xf>
    <xf numFmtId="0" fontId="6" fillId="0" borderId="17" xfId="0" applyFont="1" applyBorder="1" applyAlignment="1">
      <alignment horizontal="left" vertical="center" wrapText="1" indent="5"/>
    </xf>
    <xf numFmtId="0" fontId="21" fillId="0" borderId="17" xfId="0" applyFont="1" applyBorder="1" applyAlignment="1">
      <alignment horizontal="left" vertical="center" wrapText="1" indent="5"/>
    </xf>
    <xf numFmtId="0" fontId="21" fillId="0" borderId="17" xfId="0" applyFont="1" applyBorder="1" applyAlignment="1">
      <alignment vertical="center"/>
    </xf>
    <xf numFmtId="0" fontId="7" fillId="0" borderId="17" xfId="0" applyFont="1" applyBorder="1" applyAlignment="1">
      <alignment horizontal="left" vertical="center" indent="4"/>
    </xf>
    <xf numFmtId="0" fontId="21" fillId="0" borderId="17" xfId="0" applyFont="1" applyBorder="1" applyAlignment="1">
      <alignment horizontal="left" vertical="center" indent="5"/>
    </xf>
    <xf numFmtId="0" fontId="7" fillId="16" borderId="15" xfId="0" applyFont="1" applyFill="1" applyBorder="1" applyAlignment="1">
      <alignment horizontal="center" vertical="center"/>
    </xf>
    <xf numFmtId="0" fontId="9" fillId="0" borderId="17" xfId="0" applyFont="1" applyBorder="1" applyAlignment="1">
      <alignment vertical="center" wrapText="1"/>
    </xf>
    <xf numFmtId="0" fontId="9" fillId="0" borderId="17" xfId="0" applyFont="1" applyBorder="1" applyAlignment="1">
      <alignment horizontal="justify" vertical="center" wrapText="1"/>
    </xf>
    <xf numFmtId="0" fontId="21" fillId="0" borderId="18" xfId="0" applyFont="1" applyBorder="1" applyAlignment="1">
      <alignment horizontal="left" vertical="center" wrapText="1" indent="5"/>
    </xf>
    <xf numFmtId="0" fontId="6" fillId="8" borderId="2" xfId="0" applyFont="1" applyFill="1" applyBorder="1" applyAlignment="1">
      <alignment horizontal="right"/>
    </xf>
    <xf numFmtId="0" fontId="7" fillId="8" borderId="1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/>
    </xf>
    <xf numFmtId="0" fontId="7" fillId="5" borderId="1" xfId="0" applyFont="1" applyFill="1" applyBorder="1" applyAlignment="1">
      <alignment horizontal="left" vertical="center" wrapText="1"/>
    </xf>
    <xf numFmtId="0" fontId="6" fillId="0" borderId="2" xfId="0" applyFont="1" applyBorder="1"/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8" fillId="14" borderId="1" xfId="0" applyFont="1" applyFill="1" applyBorder="1" applyAlignment="1">
      <alignment horizontal="left"/>
    </xf>
    <xf numFmtId="0" fontId="11" fillId="0" borderId="0" xfId="0" applyFont="1" applyAlignment="1">
      <alignment horizontal="center"/>
    </xf>
    <xf numFmtId="0" fontId="7" fillId="8" borderId="2" xfId="0" applyFont="1" applyFill="1" applyBorder="1" applyAlignment="1">
      <alignment horizontal="right"/>
    </xf>
    <xf numFmtId="0" fontId="7" fillId="8" borderId="3" xfId="0" applyFont="1" applyFill="1" applyBorder="1"/>
    <xf numFmtId="0" fontId="39" fillId="14" borderId="1" xfId="0" applyFont="1" applyFill="1" applyBorder="1"/>
    <xf numFmtId="0" fontId="40" fillId="14" borderId="1" xfId="0" applyFont="1" applyFill="1" applyBorder="1"/>
    <xf numFmtId="0" fontId="6" fillId="6" borderId="2" xfId="0" applyFont="1" applyFill="1" applyBorder="1" applyAlignment="1">
      <alignment horizontal="right"/>
    </xf>
    <xf numFmtId="0" fontId="7" fillId="6" borderId="3" xfId="0" applyFont="1" applyFill="1" applyBorder="1" applyAlignment="1">
      <alignment horizontal="center"/>
    </xf>
    <xf numFmtId="0" fontId="7" fillId="6" borderId="24" xfId="0" applyFont="1" applyFill="1" applyBorder="1" applyAlignment="1">
      <alignment horizontal="center"/>
    </xf>
    <xf numFmtId="0" fontId="7" fillId="6" borderId="24" xfId="0" applyFont="1" applyFill="1" applyBorder="1" applyAlignment="1">
      <alignment horizontal="center" vertical="center" wrapText="1"/>
    </xf>
    <xf numFmtId="0" fontId="7" fillId="6" borderId="27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/>
    </xf>
    <xf numFmtId="0" fontId="7" fillId="12" borderId="5" xfId="0" applyFont="1" applyFill="1" applyBorder="1" applyAlignment="1">
      <alignment vertical="center" wrapText="1"/>
    </xf>
    <xf numFmtId="0" fontId="6" fillId="0" borderId="2" xfId="0" applyFont="1" applyBorder="1" applyAlignment="1">
      <alignment horizontal="left" vertical="center"/>
    </xf>
    <xf numFmtId="0" fontId="7" fillId="12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right" vertical="top"/>
    </xf>
    <xf numFmtId="0" fontId="6" fillId="0" borderId="14" xfId="0" applyFont="1" applyBorder="1" applyAlignment="1">
      <alignment vertical="center"/>
    </xf>
    <xf numFmtId="0" fontId="6" fillId="0" borderId="8" xfId="0" applyFont="1" applyBorder="1"/>
    <xf numFmtId="0" fontId="7" fillId="9" borderId="2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8" fillId="14" borderId="3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top" wrapText="1"/>
    </xf>
    <xf numFmtId="0" fontId="6" fillId="19" borderId="1" xfId="0" applyFont="1" applyFill="1" applyBorder="1"/>
    <xf numFmtId="0" fontId="7" fillId="9" borderId="3" xfId="0" applyFont="1" applyFill="1" applyBorder="1" applyAlignment="1">
      <alignment horizontal="left"/>
    </xf>
    <xf numFmtId="0" fontId="7" fillId="12" borderId="1" xfId="0" applyFont="1" applyFill="1" applyBorder="1" applyAlignment="1">
      <alignment horizontal="left" vertical="center" wrapText="1"/>
    </xf>
    <xf numFmtId="0" fontId="8" fillId="14" borderId="3" xfId="0" applyFont="1" applyFill="1" applyBorder="1" applyAlignment="1">
      <alignment horizontal="right" vertical="center"/>
    </xf>
    <xf numFmtId="0" fontId="7" fillId="9" borderId="2" xfId="0" applyFont="1" applyFill="1" applyBorder="1" applyAlignment="1">
      <alignment horizontal="center" vertical="top"/>
    </xf>
    <xf numFmtId="0" fontId="7" fillId="9" borderId="7" xfId="0" applyFont="1" applyFill="1" applyBorder="1" applyAlignment="1">
      <alignment horizontal="center" vertical="top"/>
    </xf>
    <xf numFmtId="0" fontId="7" fillId="12" borderId="1" xfId="0" applyFont="1" applyFill="1" applyBorder="1" applyAlignment="1">
      <alignment horizontal="right" vertical="top" wrapText="1"/>
    </xf>
    <xf numFmtId="0" fontId="6" fillId="12" borderId="1" xfId="0" applyFont="1" applyFill="1" applyBorder="1" applyAlignment="1">
      <alignment wrapText="1"/>
    </xf>
    <xf numFmtId="0" fontId="6" fillId="15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right" vertical="center" wrapText="1"/>
    </xf>
    <xf numFmtId="0" fontId="6" fillId="17" borderId="1" xfId="0" applyFont="1" applyFill="1" applyBorder="1"/>
    <xf numFmtId="0" fontId="15" fillId="0" borderId="0" xfId="0" applyFont="1" applyAlignment="1">
      <alignment vertical="center" wrapText="1"/>
    </xf>
    <xf numFmtId="0" fontId="6" fillId="5" borderId="1" xfId="0" applyFont="1" applyFill="1" applyBorder="1" applyAlignment="1">
      <alignment horizontal="right" wrapText="1"/>
    </xf>
    <xf numFmtId="0" fontId="3" fillId="0" borderId="0" xfId="0" applyFont="1" applyAlignment="1">
      <alignment vertical="top"/>
    </xf>
    <xf numFmtId="0" fontId="6" fillId="12" borderId="1" xfId="0" applyFont="1" applyFill="1" applyBorder="1" applyAlignment="1">
      <alignment horizontal="right"/>
    </xf>
    <xf numFmtId="0" fontId="6" fillId="12" borderId="1" xfId="0" applyFont="1" applyFill="1" applyBorder="1" applyAlignment="1">
      <alignment horizontal="right" vertical="center" wrapText="1"/>
    </xf>
    <xf numFmtId="0" fontId="6" fillId="20" borderId="1" xfId="0" applyFont="1" applyFill="1" applyBorder="1" applyAlignment="1">
      <alignment horizontal="right"/>
    </xf>
    <xf numFmtId="0" fontId="9" fillId="6" borderId="1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vertical="center"/>
    </xf>
    <xf numFmtId="0" fontId="34" fillId="0" borderId="1" xfId="0" applyFont="1" applyBorder="1" applyAlignment="1">
      <alignment horizontal="left" vertical="center"/>
    </xf>
    <xf numFmtId="0" fontId="7" fillId="8" borderId="4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6" fillId="0" borderId="4" xfId="0" applyFont="1" applyBorder="1"/>
    <xf numFmtId="0" fontId="32" fillId="6" borderId="1" xfId="0" applyFont="1" applyFill="1" applyBorder="1" applyAlignment="1">
      <alignment horizontal="left" vertical="center" wrapText="1"/>
    </xf>
    <xf numFmtId="0" fontId="34" fillId="6" borderId="1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6" fillId="12" borderId="4" xfId="0" applyFont="1" applyFill="1" applyBorder="1"/>
    <xf numFmtId="0" fontId="40" fillId="14" borderId="4" xfId="0" applyFont="1" applyFill="1" applyBorder="1"/>
    <xf numFmtId="0" fontId="6" fillId="12" borderId="5" xfId="0" applyFont="1" applyFill="1" applyBorder="1"/>
    <xf numFmtId="0" fontId="40" fillId="14" borderId="5" xfId="0" applyFont="1" applyFill="1" applyBorder="1"/>
    <xf numFmtId="0" fontId="7" fillId="8" borderId="24" xfId="0" applyFont="1" applyFill="1" applyBorder="1" applyAlignment="1">
      <alignment horizontal="center" vertical="center" wrapText="1"/>
    </xf>
    <xf numFmtId="0" fontId="6" fillId="12" borderId="27" xfId="0" applyFont="1" applyFill="1" applyBorder="1"/>
    <xf numFmtId="0" fontId="6" fillId="12" borderId="24" xfId="0" applyFont="1" applyFill="1" applyBorder="1"/>
    <xf numFmtId="0" fontId="40" fillId="14" borderId="27" xfId="0" applyFont="1" applyFill="1" applyBorder="1"/>
    <xf numFmtId="0" fontId="40" fillId="14" borderId="24" xfId="0" applyFont="1" applyFill="1" applyBorder="1"/>
    <xf numFmtId="0" fontId="6" fillId="5" borderId="1" xfId="0" applyFont="1" applyFill="1" applyBorder="1" applyAlignment="1">
      <alignment horizontal="center" vertical="center"/>
    </xf>
    <xf numFmtId="0" fontId="6" fillId="15" borderId="5" xfId="0" applyFont="1" applyFill="1" applyBorder="1"/>
    <xf numFmtId="0" fontId="6" fillId="15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6" fillId="5" borderId="1" xfId="0" applyFont="1" applyFill="1" applyBorder="1" applyAlignment="1">
      <alignment horizontal="right"/>
    </xf>
    <xf numFmtId="9" fontId="6" fillId="15" borderId="1" xfId="0" applyNumberFormat="1" applyFont="1" applyFill="1" applyBorder="1" applyAlignment="1">
      <alignment horizontal="center" vertical="center" wrapText="1"/>
    </xf>
    <xf numFmtId="9" fontId="6" fillId="0" borderId="0" xfId="0" applyNumberFormat="1" applyFont="1"/>
    <xf numFmtId="9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wrapText="1"/>
    </xf>
    <xf numFmtId="1" fontId="6" fillId="0" borderId="1" xfId="0" applyNumberFormat="1" applyFont="1" applyBorder="1" applyAlignment="1">
      <alignment wrapText="1"/>
    </xf>
    <xf numFmtId="0" fontId="11" fillId="14" borderId="23" xfId="0" applyFont="1" applyFill="1" applyBorder="1" applyAlignment="1">
      <alignment vertical="center"/>
    </xf>
    <xf numFmtId="0" fontId="8" fillId="14" borderId="1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32" fillId="15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11" fillId="29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11" fillId="14" borderId="1" xfId="0" applyFont="1" applyFill="1" applyBorder="1" applyAlignment="1">
      <alignment horizontal="right" vertical="center"/>
    </xf>
    <xf numFmtId="0" fontId="11" fillId="29" borderId="2" xfId="0" applyFont="1" applyFill="1" applyBorder="1" applyAlignment="1">
      <alignment horizontal="right" vertical="center"/>
    </xf>
    <xf numFmtId="0" fontId="11" fillId="27" borderId="2" xfId="0" applyFont="1" applyFill="1" applyBorder="1"/>
    <xf numFmtId="0" fontId="11" fillId="27" borderId="3" xfId="0" applyFont="1" applyFill="1" applyBorder="1"/>
    <xf numFmtId="16" fontId="6" fillId="9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/>
    <xf numFmtId="0" fontId="41" fillId="28" borderId="1" xfId="0" applyFont="1" applyFill="1" applyBorder="1"/>
    <xf numFmtId="0" fontId="35" fillId="15" borderId="1" xfId="0" applyFont="1" applyFill="1" applyBorder="1" applyAlignment="1">
      <alignment horizontal="center" vertical="center"/>
    </xf>
    <xf numFmtId="0" fontId="11" fillId="14" borderId="3" xfId="0" applyFont="1" applyFill="1" applyBorder="1"/>
    <xf numFmtId="0" fontId="11" fillId="14" borderId="3" xfId="0" applyFont="1" applyFill="1" applyBorder="1" applyAlignment="1">
      <alignment horizontal="right"/>
    </xf>
    <xf numFmtId="0" fontId="11" fillId="14" borderId="24" xfId="0" applyFont="1" applyFill="1" applyBorder="1"/>
    <xf numFmtId="0" fontId="11" fillId="14" borderId="5" xfId="0" applyFont="1" applyFill="1" applyBorder="1"/>
    <xf numFmtId="0" fontId="44" fillId="0" borderId="0" xfId="0" applyFont="1" applyProtection="1">
      <protection hidden="1"/>
    </xf>
    <xf numFmtId="0" fontId="41" fillId="14" borderId="1" xfId="0" applyFont="1" applyFill="1" applyBorder="1" applyAlignment="1">
      <alignment horizontal="center"/>
    </xf>
    <xf numFmtId="0" fontId="34" fillId="6" borderId="1" xfId="0" applyFont="1" applyFill="1" applyBorder="1" applyAlignment="1">
      <alignment vertical="center"/>
    </xf>
    <xf numFmtId="0" fontId="41" fillId="14" borderId="1" xfId="0" applyFont="1" applyFill="1" applyBorder="1"/>
    <xf numFmtId="1" fontId="11" fillId="14" borderId="1" xfId="0" applyNumberFormat="1" applyFont="1" applyFill="1" applyBorder="1" applyAlignment="1">
      <alignment vertical="center"/>
    </xf>
    <xf numFmtId="0" fontId="44" fillId="30" borderId="0" xfId="0" applyFont="1" applyFill="1" applyProtection="1">
      <protection hidden="1"/>
    </xf>
    <xf numFmtId="0" fontId="44" fillId="0" borderId="23" xfId="0" applyFont="1" applyBorder="1" applyProtection="1">
      <protection hidden="1"/>
    </xf>
    <xf numFmtId="0" fontId="44" fillId="0" borderId="41" xfId="0" applyFont="1" applyBorder="1" applyProtection="1">
      <protection hidden="1"/>
    </xf>
    <xf numFmtId="0" fontId="44" fillId="0" borderId="40" xfId="0" applyFont="1" applyBorder="1" applyProtection="1">
      <protection hidden="1"/>
    </xf>
    <xf numFmtId="0" fontId="44" fillId="30" borderId="37" xfId="0" applyFont="1" applyFill="1" applyBorder="1" applyProtection="1">
      <protection hidden="1"/>
    </xf>
    <xf numFmtId="0" fontId="44" fillId="30" borderId="11" xfId="0" applyFont="1" applyFill="1" applyBorder="1" applyProtection="1">
      <protection hidden="1"/>
    </xf>
    <xf numFmtId="0" fontId="44" fillId="30" borderId="10" xfId="0" applyFont="1" applyFill="1" applyBorder="1" applyProtection="1">
      <protection hidden="1"/>
    </xf>
    <xf numFmtId="0" fontId="44" fillId="30" borderId="12" xfId="0" applyFont="1" applyFill="1" applyBorder="1" applyProtection="1">
      <protection hidden="1"/>
    </xf>
    <xf numFmtId="0" fontId="44" fillId="0" borderId="33" xfId="0" applyFont="1" applyBorder="1" applyProtection="1">
      <protection hidden="1"/>
    </xf>
    <xf numFmtId="0" fontId="44" fillId="0" borderId="38" xfId="0" applyFont="1" applyBorder="1" applyProtection="1">
      <protection hidden="1"/>
    </xf>
    <xf numFmtId="0" fontId="44" fillId="0" borderId="19" xfId="0" applyFont="1" applyBorder="1" applyProtection="1">
      <protection hidden="1"/>
    </xf>
    <xf numFmtId="0" fontId="49" fillId="0" borderId="19" xfId="0" applyFont="1" applyBorder="1" applyAlignment="1" applyProtection="1">
      <alignment horizontal="right"/>
      <protection hidden="1"/>
    </xf>
    <xf numFmtId="0" fontId="44" fillId="0" borderId="8" xfId="0" applyFont="1" applyBorder="1" applyProtection="1">
      <protection hidden="1"/>
    </xf>
    <xf numFmtId="0" fontId="49" fillId="30" borderId="11" xfId="0" applyFont="1" applyFill="1" applyBorder="1" applyAlignment="1" applyProtection="1">
      <alignment horizontal="right"/>
      <protection hidden="1"/>
    </xf>
    <xf numFmtId="0" fontId="49" fillId="30" borderId="38" xfId="0" applyFont="1" applyFill="1" applyBorder="1" applyAlignment="1" applyProtection="1">
      <alignment horizontal="center"/>
      <protection hidden="1"/>
    </xf>
    <xf numFmtId="0" fontId="49" fillId="30" borderId="19" xfId="0" applyFont="1" applyFill="1" applyBorder="1" applyAlignment="1" applyProtection="1">
      <alignment horizontal="center"/>
      <protection hidden="1"/>
    </xf>
    <xf numFmtId="0" fontId="49" fillId="30" borderId="8" xfId="0" applyFont="1" applyFill="1" applyBorder="1" applyAlignment="1" applyProtection="1">
      <alignment horizontal="center"/>
      <protection hidden="1"/>
    </xf>
    <xf numFmtId="0" fontId="44" fillId="30" borderId="34" xfId="0" applyFont="1" applyFill="1" applyBorder="1" applyProtection="1">
      <protection hidden="1"/>
    </xf>
    <xf numFmtId="0" fontId="44" fillId="0" borderId="34" xfId="0" applyFont="1" applyBorder="1" applyProtection="1">
      <protection hidden="1"/>
    </xf>
    <xf numFmtId="0" fontId="43" fillId="0" borderId="37" xfId="0" applyFont="1" applyBorder="1" applyAlignment="1" applyProtection="1">
      <alignment horizontal="center"/>
      <protection hidden="1"/>
    </xf>
    <xf numFmtId="0" fontId="43" fillId="0" borderId="11" xfId="0" applyFont="1" applyBorder="1" applyAlignment="1" applyProtection="1">
      <alignment horizontal="center"/>
      <protection hidden="1"/>
    </xf>
    <xf numFmtId="0" fontId="43" fillId="0" borderId="11" xfId="0" applyFont="1" applyBorder="1" applyAlignment="1" applyProtection="1">
      <alignment horizontal="left"/>
      <protection hidden="1"/>
    </xf>
    <xf numFmtId="0" fontId="43" fillId="0" borderId="33" xfId="0" applyFont="1" applyBorder="1" applyAlignment="1" applyProtection="1">
      <alignment horizontal="center"/>
      <protection hidden="1"/>
    </xf>
    <xf numFmtId="0" fontId="44" fillId="0" borderId="34" xfId="0" applyFont="1" applyBorder="1" applyAlignment="1" applyProtection="1">
      <alignment horizontal="center"/>
      <protection hidden="1"/>
    </xf>
    <xf numFmtId="0" fontId="44" fillId="0" borderId="0" xfId="0" applyFont="1" applyAlignment="1" applyProtection="1">
      <alignment horizontal="center"/>
      <protection hidden="1"/>
    </xf>
    <xf numFmtId="0" fontId="44" fillId="0" borderId="33" xfId="0" applyFont="1" applyBorder="1" applyAlignment="1" applyProtection="1">
      <alignment horizontal="left"/>
      <protection hidden="1"/>
    </xf>
    <xf numFmtId="3" fontId="43" fillId="30" borderId="0" xfId="0" applyNumberFormat="1" applyFont="1" applyFill="1" applyProtection="1">
      <protection hidden="1"/>
    </xf>
    <xf numFmtId="0" fontId="43" fillId="0" borderId="33" xfId="0" applyFont="1" applyBorder="1" applyAlignment="1" applyProtection="1">
      <alignment horizontal="left"/>
      <protection hidden="1"/>
    </xf>
    <xf numFmtId="0" fontId="43" fillId="30" borderId="0" xfId="0" applyFont="1" applyFill="1" applyProtection="1">
      <protection hidden="1"/>
    </xf>
    <xf numFmtId="0" fontId="44" fillId="0" borderId="36" xfId="0" applyFont="1" applyBorder="1" applyProtection="1">
      <protection hidden="1"/>
    </xf>
    <xf numFmtId="0" fontId="43" fillId="30" borderId="0" xfId="0" applyFont="1" applyFill="1" applyAlignment="1" applyProtection="1">
      <alignment horizontal="center"/>
      <protection hidden="1"/>
    </xf>
    <xf numFmtId="0" fontId="43" fillId="0" borderId="0" xfId="0" applyFont="1" applyAlignment="1" applyProtection="1">
      <alignment horizontal="center"/>
      <protection hidden="1"/>
    </xf>
    <xf numFmtId="0" fontId="44" fillId="0" borderId="0" xfId="0" applyFont="1"/>
    <xf numFmtId="0" fontId="44" fillId="0" borderId="32" xfId="0" applyFont="1" applyBorder="1" applyProtection="1">
      <protection hidden="1"/>
    </xf>
    <xf numFmtId="0" fontId="44" fillId="0" borderId="31" xfId="0" applyFont="1" applyBorder="1" applyProtection="1">
      <protection hidden="1"/>
    </xf>
    <xf numFmtId="0" fontId="44" fillId="0" borderId="30" xfId="0" applyFont="1" applyBorder="1" applyProtection="1">
      <protection hidden="1"/>
    </xf>
    <xf numFmtId="0" fontId="43" fillId="0" borderId="0" xfId="0" applyFont="1" applyAlignment="1">
      <alignment horizontal="center"/>
    </xf>
    <xf numFmtId="0" fontId="43" fillId="0" borderId="11" xfId="0" applyFont="1" applyBorder="1" applyProtection="1">
      <protection hidden="1"/>
    </xf>
    <xf numFmtId="0" fontId="43" fillId="0" borderId="37" xfId="0" applyFont="1" applyBorder="1" applyProtection="1">
      <protection hidden="1"/>
    </xf>
    <xf numFmtId="0" fontId="43" fillId="0" borderId="1" xfId="0" applyFont="1" applyBorder="1" applyAlignment="1" applyProtection="1">
      <alignment horizontal="center"/>
      <protection locked="0"/>
    </xf>
    <xf numFmtId="0" fontId="49" fillId="0" borderId="11" xfId="0" applyFont="1" applyBorder="1" applyAlignment="1" applyProtection="1">
      <alignment horizontal="left"/>
      <protection hidden="1"/>
    </xf>
    <xf numFmtId="0" fontId="49" fillId="30" borderId="11" xfId="0" applyFont="1" applyFill="1" applyBorder="1" applyProtection="1">
      <protection hidden="1"/>
    </xf>
    <xf numFmtId="0" fontId="49" fillId="30" borderId="0" xfId="0" applyFont="1" applyFill="1" applyAlignment="1" applyProtection="1">
      <alignment horizontal="center"/>
      <protection hidden="1"/>
    </xf>
    <xf numFmtId="0" fontId="44" fillId="30" borderId="1" xfId="0" applyFont="1" applyFill="1" applyBorder="1" applyProtection="1">
      <protection hidden="1"/>
    </xf>
    <xf numFmtId="0" fontId="52" fillId="30" borderId="1" xfId="0" applyFont="1" applyFill="1" applyBorder="1" applyAlignment="1" applyProtection="1">
      <alignment horizontal="center" vertical="center"/>
      <protection hidden="1"/>
    </xf>
    <xf numFmtId="0" fontId="44" fillId="30" borderId="4" xfId="0" applyFont="1" applyFill="1" applyBorder="1" applyProtection="1">
      <protection hidden="1"/>
    </xf>
    <xf numFmtId="0" fontId="44" fillId="30" borderId="6" xfId="0" applyFont="1" applyFill="1" applyBorder="1" applyProtection="1">
      <protection hidden="1"/>
    </xf>
    <xf numFmtId="0" fontId="51" fillId="30" borderId="4" xfId="0" applyFont="1" applyFill="1" applyBorder="1" applyProtection="1">
      <protection hidden="1"/>
    </xf>
    <xf numFmtId="0" fontId="53" fillId="30" borderId="6" xfId="0" applyFont="1" applyFill="1" applyBorder="1" applyProtection="1">
      <protection hidden="1"/>
    </xf>
    <xf numFmtId="0" fontId="51" fillId="30" borderId="6" xfId="0" applyFont="1" applyFill="1" applyBorder="1" applyAlignment="1" applyProtection="1">
      <alignment horizontal="right"/>
      <protection hidden="1"/>
    </xf>
    <xf numFmtId="0" fontId="51" fillId="30" borderId="4" xfId="0" applyFont="1" applyFill="1" applyBorder="1" applyAlignment="1" applyProtection="1">
      <alignment horizontal="left"/>
      <protection hidden="1"/>
    </xf>
    <xf numFmtId="0" fontId="51" fillId="30" borderId="6" xfId="0" applyFont="1" applyFill="1" applyBorder="1" applyAlignment="1" applyProtection="1">
      <alignment horizontal="left"/>
      <protection hidden="1"/>
    </xf>
    <xf numFmtId="0" fontId="50" fillId="30" borderId="4" xfId="0" applyFont="1" applyFill="1" applyBorder="1" applyProtection="1">
      <protection hidden="1"/>
    </xf>
    <xf numFmtId="0" fontId="54" fillId="30" borderId="6" xfId="0" applyFont="1" applyFill="1" applyBorder="1" applyProtection="1">
      <protection hidden="1"/>
    </xf>
    <xf numFmtId="0" fontId="50" fillId="30" borderId="6" xfId="0" applyFont="1" applyFill="1" applyBorder="1" applyAlignment="1" applyProtection="1">
      <alignment horizontal="right"/>
      <protection hidden="1"/>
    </xf>
    <xf numFmtId="0" fontId="43" fillId="30" borderId="1" xfId="0" applyFont="1" applyFill="1" applyBorder="1" applyAlignment="1" applyProtection="1">
      <alignment horizontal="center" vertical="center"/>
      <protection hidden="1"/>
    </xf>
    <xf numFmtId="0" fontId="55" fillId="0" borderId="1" xfId="0" applyFont="1" applyBorder="1" applyAlignment="1" applyProtection="1">
      <alignment horizontal="center"/>
      <protection hidden="1"/>
    </xf>
    <xf numFmtId="14" fontId="43" fillId="30" borderId="0" xfId="0" quotePrefix="1" applyNumberFormat="1" applyFont="1" applyFill="1"/>
    <xf numFmtId="14" fontId="43" fillId="30" borderId="0" xfId="0" applyNumberFormat="1" applyFont="1" applyFill="1"/>
    <xf numFmtId="0" fontId="43" fillId="0" borderId="0" xfId="0" applyFont="1" applyProtection="1">
      <protection hidden="1"/>
    </xf>
    <xf numFmtId="0" fontId="44" fillId="0" borderId="34" xfId="0" applyFont="1" applyBorder="1" applyAlignment="1" applyProtection="1">
      <alignment horizontal="left"/>
      <protection hidden="1"/>
    </xf>
    <xf numFmtId="0" fontId="44" fillId="0" borderId="35" xfId="0" applyFont="1" applyBorder="1" applyProtection="1">
      <protection hidden="1"/>
    </xf>
    <xf numFmtId="49" fontId="44" fillId="0" borderId="0" xfId="0" applyNumberFormat="1" applyFont="1" applyAlignment="1" applyProtection="1">
      <alignment vertical="center"/>
      <protection hidden="1"/>
    </xf>
    <xf numFmtId="0" fontId="47" fillId="0" borderId="0" xfId="0" applyFont="1" applyProtection="1">
      <protection hidden="1"/>
    </xf>
    <xf numFmtId="0" fontId="47" fillId="0" borderId="34" xfId="0" applyFont="1" applyBorder="1" applyProtection="1">
      <protection hidden="1"/>
    </xf>
    <xf numFmtId="0" fontId="32" fillId="6" borderId="1" xfId="0" applyFont="1" applyFill="1" applyBorder="1" applyAlignment="1">
      <alignment horizontal="center"/>
    </xf>
    <xf numFmtId="16" fontId="32" fillId="6" borderId="1" xfId="0" applyNumberFormat="1" applyFont="1" applyFill="1" applyBorder="1" applyAlignment="1">
      <alignment horizontal="center"/>
    </xf>
    <xf numFmtId="0" fontId="6" fillId="31" borderId="1" xfId="0" applyFont="1" applyFill="1" applyBorder="1"/>
    <xf numFmtId="0" fontId="6" fillId="12" borderId="27" xfId="0" applyFont="1" applyFill="1" applyBorder="1"/>
    <xf numFmtId="0" fontId="6" fillId="31" borderId="1" xfId="0" applyFont="1" applyFill="1" applyBorder="1"/>
    <xf numFmtId="0" fontId="6" fillId="32" borderId="1" xfId="0" applyFont="1" applyFill="1" applyBorder="1"/>
    <xf numFmtId="0" fontId="43" fillId="30" borderId="0" xfId="0" quotePrefix="1" applyFont="1" applyFill="1" applyAlignment="1" applyProtection="1">
      <alignment horizontal="center"/>
      <protection hidden="1"/>
    </xf>
    <xf numFmtId="0" fontId="49" fillId="0" borderId="33" xfId="0" applyFont="1" applyBorder="1" applyAlignment="1" applyProtection="1">
      <alignment horizontal="left"/>
      <protection hidden="1"/>
    </xf>
    <xf numFmtId="0" fontId="49" fillId="0" borderId="0" xfId="0" applyFont="1" applyAlignment="1" applyProtection="1">
      <alignment horizontal="left"/>
      <protection hidden="1"/>
    </xf>
    <xf numFmtId="0" fontId="49" fillId="0" borderId="34" xfId="0" applyFont="1" applyBorder="1" applyAlignment="1" applyProtection="1">
      <alignment horizontal="left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43" fillId="30" borderId="0" xfId="0" applyFont="1" applyFill="1" applyAlignment="1" applyProtection="1">
      <alignment horizontal="center" vertical="center"/>
      <protection hidden="1"/>
    </xf>
    <xf numFmtId="0" fontId="43" fillId="30" borderId="0" xfId="0" applyFont="1" applyFill="1" applyAlignment="1" applyProtection="1">
      <alignment horizontal="center"/>
      <protection hidden="1"/>
    </xf>
    <xf numFmtId="0" fontId="44" fillId="0" borderId="0" xfId="0" applyFont="1" applyAlignment="1" applyProtection="1">
      <alignment horizontal="center"/>
      <protection hidden="1"/>
    </xf>
    <xf numFmtId="0" fontId="45" fillId="0" borderId="0" xfId="0" applyFont="1" applyAlignment="1">
      <alignment horizontal="center"/>
    </xf>
    <xf numFmtId="0" fontId="43" fillId="0" borderId="0" xfId="0" applyFont="1" applyAlignment="1" applyProtection="1">
      <alignment horizontal="center"/>
      <protection hidden="1"/>
    </xf>
    <xf numFmtId="49" fontId="46" fillId="0" borderId="0" xfId="0" applyNumberFormat="1" applyFont="1" applyAlignment="1" applyProtection="1">
      <alignment horizontal="center" vertical="center"/>
      <protection hidden="1"/>
    </xf>
    <xf numFmtId="0" fontId="48" fillId="0" borderId="35" xfId="0" applyFont="1" applyBorder="1" applyAlignment="1" applyProtection="1">
      <alignment horizontal="center"/>
      <protection hidden="1"/>
    </xf>
    <xf numFmtId="0" fontId="43" fillId="0" borderId="11" xfId="0" applyFont="1" applyBorder="1" applyAlignment="1" applyProtection="1">
      <alignment horizontal="left"/>
      <protection hidden="1"/>
    </xf>
    <xf numFmtId="0" fontId="43" fillId="0" borderId="37" xfId="0" applyFont="1" applyBorder="1" applyAlignment="1" applyProtection="1">
      <alignment horizontal="left"/>
      <protection hidden="1"/>
    </xf>
    <xf numFmtId="0" fontId="44" fillId="0" borderId="11" xfId="0" applyFont="1" applyBorder="1" applyAlignment="1" applyProtection="1">
      <alignment horizontal="center"/>
      <protection hidden="1"/>
    </xf>
    <xf numFmtId="0" fontId="44" fillId="0" borderId="37" xfId="0" applyFont="1" applyBorder="1" applyAlignment="1" applyProtection="1">
      <alignment horizontal="center"/>
      <protection hidden="1"/>
    </xf>
    <xf numFmtId="0" fontId="43" fillId="0" borderId="0" xfId="0" applyFont="1" applyAlignment="1" applyProtection="1">
      <alignment vertical="center"/>
      <protection locked="0"/>
    </xf>
    <xf numFmtId="0" fontId="44" fillId="0" borderId="0" xfId="0" applyFont="1"/>
    <xf numFmtId="0" fontId="44" fillId="0" borderId="34" xfId="0" applyFont="1" applyBorder="1"/>
    <xf numFmtId="0" fontId="50" fillId="30" borderId="8" xfId="0" applyFont="1" applyFill="1" applyBorder="1" applyAlignment="1" applyProtection="1">
      <alignment horizontal="center" vertical="center"/>
      <protection hidden="1"/>
    </xf>
    <xf numFmtId="0" fontId="50" fillId="30" borderId="19" xfId="0" applyFont="1" applyFill="1" applyBorder="1" applyAlignment="1" applyProtection="1">
      <alignment horizontal="center" vertical="center"/>
      <protection hidden="1"/>
    </xf>
    <xf numFmtId="0" fontId="50" fillId="30" borderId="38" xfId="0" applyFont="1" applyFill="1" applyBorder="1" applyAlignment="1" applyProtection="1">
      <alignment horizontal="center" vertical="center"/>
      <protection hidden="1"/>
    </xf>
    <xf numFmtId="0" fontId="50" fillId="30" borderId="10" xfId="0" applyFont="1" applyFill="1" applyBorder="1" applyAlignment="1" applyProtection="1">
      <alignment horizontal="center" vertical="center"/>
      <protection hidden="1"/>
    </xf>
    <xf numFmtId="0" fontId="50" fillId="30" borderId="11" xfId="0" applyFont="1" applyFill="1" applyBorder="1" applyAlignment="1" applyProtection="1">
      <alignment horizontal="center" vertical="center"/>
      <protection hidden="1"/>
    </xf>
    <xf numFmtId="0" fontId="50" fillId="30" borderId="37" xfId="0" applyFont="1" applyFill="1" applyBorder="1" applyAlignment="1" applyProtection="1">
      <alignment horizontal="center" vertical="center"/>
      <protection hidden="1"/>
    </xf>
    <xf numFmtId="0" fontId="51" fillId="0" borderId="13" xfId="0" applyFont="1" applyBorder="1" applyAlignment="1" applyProtection="1">
      <alignment horizontal="left"/>
      <protection hidden="1"/>
    </xf>
    <xf numFmtId="0" fontId="51" fillId="0" borderId="0" xfId="0" applyFont="1" applyAlignment="1" applyProtection="1">
      <alignment horizontal="left"/>
      <protection hidden="1"/>
    </xf>
    <xf numFmtId="0" fontId="51" fillId="0" borderId="8" xfId="0" applyFont="1" applyBorder="1" applyAlignment="1" applyProtection="1">
      <alignment horizontal="left"/>
      <protection hidden="1"/>
    </xf>
    <xf numFmtId="0" fontId="51" fillId="0" borderId="19" xfId="0" applyFont="1" applyBorder="1" applyAlignment="1" applyProtection="1">
      <alignment horizontal="left"/>
      <protection hidden="1"/>
    </xf>
    <xf numFmtId="0" fontId="50" fillId="0" borderId="4" xfId="0" applyFont="1" applyBorder="1" applyAlignment="1" applyProtection="1">
      <alignment horizontal="left"/>
      <protection hidden="1"/>
    </xf>
    <xf numFmtId="0" fontId="50" fillId="0" borderId="6" xfId="0" applyFont="1" applyBorder="1" applyAlignment="1" applyProtection="1">
      <alignment horizontal="left"/>
      <protection hidden="1"/>
    </xf>
    <xf numFmtId="0" fontId="50" fillId="0" borderId="39" xfId="0" applyFont="1" applyBorder="1" applyAlignment="1" applyProtection="1">
      <alignment horizontal="left"/>
      <protection hidden="1"/>
    </xf>
    <xf numFmtId="0" fontId="43" fillId="30" borderId="34" xfId="0" applyFont="1" applyFill="1" applyBorder="1" applyAlignment="1" applyProtection="1">
      <alignment horizontal="center"/>
      <protection hidden="1"/>
    </xf>
    <xf numFmtId="0" fontId="51" fillId="30" borderId="4" xfId="0" applyFont="1" applyFill="1" applyBorder="1" applyAlignment="1" applyProtection="1">
      <alignment horizontal="left"/>
      <protection hidden="1"/>
    </xf>
    <xf numFmtId="0" fontId="51" fillId="30" borderId="6" xfId="0" applyFont="1" applyFill="1" applyBorder="1" applyAlignment="1" applyProtection="1">
      <alignment horizontal="left"/>
      <protection hidden="1"/>
    </xf>
    <xf numFmtId="0" fontId="50" fillId="30" borderId="4" xfId="0" applyFont="1" applyFill="1" applyBorder="1" applyAlignment="1" applyProtection="1">
      <alignment horizontal="left"/>
      <protection hidden="1"/>
    </xf>
    <xf numFmtId="0" fontId="50" fillId="30" borderId="6" xfId="0" applyFont="1" applyFill="1" applyBorder="1" applyAlignment="1" applyProtection="1">
      <alignment horizontal="left"/>
      <protection hidden="1"/>
    </xf>
    <xf numFmtId="0" fontId="50" fillId="30" borderId="39" xfId="0" applyFont="1" applyFill="1" applyBorder="1" applyAlignment="1" applyProtection="1">
      <alignment horizontal="left"/>
      <protection hidden="1"/>
    </xf>
    <xf numFmtId="0" fontId="49" fillId="0" borderId="11" xfId="0" applyFont="1" applyBorder="1" applyAlignment="1" applyProtection="1">
      <alignment horizontal="left"/>
      <protection hidden="1"/>
    </xf>
    <xf numFmtId="0" fontId="49" fillId="0" borderId="37" xfId="0" applyFont="1" applyBorder="1" applyAlignment="1" applyProtection="1">
      <alignment horizontal="left"/>
      <protection hidden="1"/>
    </xf>
    <xf numFmtId="0" fontId="32" fillId="8" borderId="1" xfId="0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3" fillId="0" borderId="0" xfId="0" applyFont="1"/>
    <xf numFmtId="0" fontId="8" fillId="27" borderId="2" xfId="0" applyFont="1" applyFill="1" applyBorder="1" applyAlignment="1">
      <alignment horizontal="center" vertical="center" wrapText="1"/>
    </xf>
    <xf numFmtId="0" fontId="8" fillId="27" borderId="3" xfId="0" applyFont="1" applyFill="1" applyBorder="1" applyAlignment="1">
      <alignment horizontal="center" vertical="center" wrapText="1"/>
    </xf>
    <xf numFmtId="0" fontId="11" fillId="27" borderId="2" xfId="0" applyFont="1" applyFill="1" applyBorder="1"/>
    <xf numFmtId="0" fontId="11" fillId="27" borderId="3" xfId="0" applyFont="1" applyFill="1" applyBorder="1"/>
    <xf numFmtId="0" fontId="7" fillId="4" borderId="1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7" fillId="10" borderId="6" xfId="0" applyFont="1" applyFill="1" applyBorder="1" applyAlignment="1">
      <alignment horizontal="center"/>
    </xf>
    <xf numFmtId="0" fontId="7" fillId="10" borderId="5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33" fillId="0" borderId="0" xfId="0" applyFont="1"/>
    <xf numFmtId="0" fontId="6" fillId="0" borderId="4" xfId="0" applyFont="1" applyBorder="1"/>
    <xf numFmtId="0" fontId="6" fillId="0" borderId="6" xfId="0" applyFont="1" applyBorder="1"/>
    <xf numFmtId="0" fontId="6" fillId="0" borderId="5" xfId="0" applyFont="1" applyBorder="1"/>
    <xf numFmtId="0" fontId="8" fillId="14" borderId="4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8" fillId="14" borderId="4" xfId="0" applyFont="1" applyFill="1" applyBorder="1" applyAlignment="1">
      <alignment horizontal="center"/>
    </xf>
    <xf numFmtId="0" fontId="8" fillId="14" borderId="6" xfId="0" applyFont="1" applyFill="1" applyBorder="1" applyAlignment="1">
      <alignment horizontal="center"/>
    </xf>
    <xf numFmtId="0" fontId="8" fillId="14" borderId="5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7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/>
    </xf>
    <xf numFmtId="0" fontId="7" fillId="8" borderId="27" xfId="0" applyFont="1" applyFill="1" applyBorder="1" applyAlignment="1">
      <alignment horizontal="center"/>
    </xf>
    <xf numFmtId="0" fontId="7" fillId="8" borderId="24" xfId="0" applyFont="1" applyFill="1" applyBorder="1" applyAlignment="1">
      <alignment horizontal="center"/>
    </xf>
    <xf numFmtId="0" fontId="13" fillId="0" borderId="0" xfId="0" applyFont="1"/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28" xfId="0" applyFont="1" applyFill="1" applyBorder="1" applyAlignment="1">
      <alignment horizontal="center"/>
    </xf>
    <xf numFmtId="0" fontId="7" fillId="6" borderId="29" xfId="0" applyFont="1" applyFill="1" applyBorder="1" applyAlignment="1">
      <alignment horizontal="center"/>
    </xf>
    <xf numFmtId="0" fontId="7" fillId="6" borderId="27" xfId="0" applyFont="1" applyFill="1" applyBorder="1" applyAlignment="1">
      <alignment horizontal="center"/>
    </xf>
    <xf numFmtId="0" fontId="7" fillId="6" borderId="24" xfId="0" applyFont="1" applyFill="1" applyBorder="1" applyAlignment="1">
      <alignment horizontal="center"/>
    </xf>
    <xf numFmtId="0" fontId="6" fillId="0" borderId="0" xfId="0" applyFont="1"/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right" vertical="center"/>
    </xf>
    <xf numFmtId="0" fontId="7" fillId="9" borderId="13" xfId="0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right" vertical="center"/>
    </xf>
    <xf numFmtId="0" fontId="7" fillId="9" borderId="7" xfId="0" applyFont="1" applyFill="1" applyBorder="1" applyAlignment="1">
      <alignment horizontal="right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8" fillId="14" borderId="1" xfId="0" applyFont="1" applyFill="1" applyBorder="1" applyAlignment="1">
      <alignment horizontal="left" vertical="top"/>
    </xf>
    <xf numFmtId="0" fontId="7" fillId="0" borderId="1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5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0" fontId="36" fillId="0" borderId="0" xfId="0" applyFont="1" applyAlignment="1">
      <alignment horizontal="left" vertical="center" wrapText="1" indent="5"/>
    </xf>
    <xf numFmtId="0" fontId="36" fillId="0" borderId="0" xfId="0" applyFont="1" applyAlignment="1">
      <alignment horizontal="left" vertical="center" indent="5"/>
    </xf>
    <xf numFmtId="0" fontId="7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9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9" borderId="1" xfId="0" applyFont="1" applyFill="1" applyBorder="1" applyAlignment="1">
      <alignment horizontal="center"/>
    </xf>
    <xf numFmtId="0" fontId="12" fillId="0" borderId="0" xfId="0" applyFont="1" applyAlignment="1">
      <alignment wrapText="1"/>
    </xf>
    <xf numFmtId="0" fontId="7" fillId="9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13" fillId="0" borderId="14" xfId="0" applyFont="1" applyBorder="1"/>
    <xf numFmtId="0" fontId="7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9" fillId="21" borderId="2" xfId="0" applyFont="1" applyFill="1" applyBorder="1" applyAlignment="1">
      <alignment horizontal="center" vertical="center" wrapText="1"/>
    </xf>
    <xf numFmtId="0" fontId="9" fillId="21" borderId="3" xfId="0" applyFont="1" applyFill="1" applyBorder="1" applyAlignment="1">
      <alignment horizontal="center" vertical="center" wrapText="1"/>
    </xf>
    <xf numFmtId="0" fontId="9" fillId="21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5"/>
    </xf>
    <xf numFmtId="0" fontId="9" fillId="21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9" fillId="21" borderId="20" xfId="0" applyFont="1" applyFill="1" applyBorder="1" applyAlignment="1">
      <alignment horizontal="center" vertical="center" wrapText="1"/>
    </xf>
    <xf numFmtId="0" fontId="9" fillId="21" borderId="16" xfId="0" applyFont="1" applyFill="1" applyBorder="1" applyAlignment="1">
      <alignment horizontal="center" vertical="center" wrapText="1"/>
    </xf>
    <xf numFmtId="0" fontId="9" fillId="21" borderId="20" xfId="0" applyFont="1" applyFill="1" applyBorder="1" applyAlignment="1">
      <alignment horizontal="center" vertical="center"/>
    </xf>
    <xf numFmtId="0" fontId="9" fillId="21" borderId="16" xfId="0" applyFont="1" applyFill="1" applyBorder="1" applyAlignment="1">
      <alignment horizontal="center" vertical="center"/>
    </xf>
    <xf numFmtId="0" fontId="9" fillId="21" borderId="21" xfId="0" applyFont="1" applyFill="1" applyBorder="1" applyAlignment="1">
      <alignment horizontal="center" vertical="center"/>
    </xf>
    <xf numFmtId="0" fontId="9" fillId="21" borderId="22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indent="5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21" fillId="0" borderId="27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25" borderId="27" xfId="0" applyFont="1" applyFill="1" applyBorder="1" applyAlignment="1">
      <alignment horizontal="center" vertical="center"/>
    </xf>
    <xf numFmtId="0" fontId="21" fillId="2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21" borderId="8" xfId="0" applyFont="1" applyFill="1" applyBorder="1" applyAlignment="1">
      <alignment horizontal="center" vertical="center"/>
    </xf>
    <xf numFmtId="0" fontId="9" fillId="21" borderId="19" xfId="0" applyFont="1" applyFill="1" applyBorder="1" applyAlignment="1">
      <alignment horizontal="center" vertical="center"/>
    </xf>
    <xf numFmtId="0" fontId="9" fillId="21" borderId="25" xfId="0" applyFont="1" applyFill="1" applyBorder="1" applyAlignment="1">
      <alignment horizontal="center" vertical="center"/>
    </xf>
    <xf numFmtId="0" fontId="9" fillId="21" borderId="10" xfId="0" applyFont="1" applyFill="1" applyBorder="1" applyAlignment="1">
      <alignment horizontal="center" vertical="center"/>
    </xf>
    <xf numFmtId="0" fontId="9" fillId="21" borderId="11" xfId="0" applyFont="1" applyFill="1" applyBorder="1" applyAlignment="1">
      <alignment horizontal="center" vertical="center"/>
    </xf>
    <xf numFmtId="0" fontId="9" fillId="21" borderId="26" xfId="0" applyFont="1" applyFill="1" applyBorder="1" applyAlignment="1">
      <alignment horizontal="center" vertical="center"/>
    </xf>
    <xf numFmtId="0" fontId="9" fillId="21" borderId="5" xfId="0" applyFont="1" applyFill="1" applyBorder="1" applyAlignment="1">
      <alignment horizontal="center" vertical="center"/>
    </xf>
    <xf numFmtId="0" fontId="9" fillId="21" borderId="2" xfId="0" applyFont="1" applyFill="1" applyBorder="1" applyAlignment="1">
      <alignment horizontal="right" vertical="center" wrapText="1"/>
    </xf>
    <xf numFmtId="0" fontId="9" fillId="21" borderId="7" xfId="0" applyFont="1" applyFill="1" applyBorder="1" applyAlignment="1">
      <alignment horizontal="right" vertical="center" wrapText="1"/>
    </xf>
    <xf numFmtId="0" fontId="9" fillId="21" borderId="7" xfId="0" applyFont="1" applyFill="1" applyBorder="1" applyAlignment="1">
      <alignment horizontal="left" wrapText="1"/>
    </xf>
    <xf numFmtId="0" fontId="9" fillId="21" borderId="3" xfId="0" applyFont="1" applyFill="1" applyBorder="1" applyAlignment="1">
      <alignment horizontal="left" wrapText="1"/>
    </xf>
    <xf numFmtId="0" fontId="21" fillId="0" borderId="0" xfId="0" applyFont="1" applyAlignment="1">
      <alignment vertical="center"/>
    </xf>
    <xf numFmtId="0" fontId="21" fillId="26" borderId="27" xfId="0" applyFont="1" applyFill="1" applyBorder="1" applyAlignment="1">
      <alignment horizontal="center" vertical="center"/>
    </xf>
    <xf numFmtId="0" fontId="21" fillId="26" borderId="1" xfId="0" applyFont="1" applyFill="1" applyBorder="1" applyAlignment="1">
      <alignment horizontal="center" vertical="center"/>
    </xf>
    <xf numFmtId="0" fontId="21" fillId="12" borderId="8" xfId="0" applyFont="1" applyFill="1" applyBorder="1" applyAlignment="1">
      <alignment horizontal="center"/>
    </xf>
    <xf numFmtId="0" fontId="21" fillId="12" borderId="19" xfId="0" applyFont="1" applyFill="1" applyBorder="1" applyAlignment="1">
      <alignment horizontal="center"/>
    </xf>
    <xf numFmtId="0" fontId="21" fillId="12" borderId="9" xfId="0" applyFont="1" applyFill="1" applyBorder="1" applyAlignment="1">
      <alignment horizontal="center"/>
    </xf>
    <xf numFmtId="0" fontId="21" fillId="12" borderId="10" xfId="0" applyFont="1" applyFill="1" applyBorder="1" applyAlignment="1">
      <alignment horizontal="center"/>
    </xf>
    <xf numFmtId="0" fontId="21" fillId="12" borderId="11" xfId="0" applyFont="1" applyFill="1" applyBorder="1" applyAlignment="1">
      <alignment horizontal="center"/>
    </xf>
    <xf numFmtId="0" fontId="21" fillId="12" borderId="12" xfId="0" applyFont="1" applyFill="1" applyBorder="1" applyAlignment="1">
      <alignment horizontal="center"/>
    </xf>
    <xf numFmtId="0" fontId="9" fillId="21" borderId="5" xfId="0" applyFont="1" applyFill="1" applyBorder="1" applyAlignment="1">
      <alignment horizontal="center" vertical="center" wrapText="1"/>
    </xf>
    <xf numFmtId="0" fontId="9" fillId="21" borderId="1" xfId="0" applyFont="1" applyFill="1" applyBorder="1" applyAlignment="1">
      <alignment horizontal="right" vertical="top" wrapText="1"/>
    </xf>
    <xf numFmtId="0" fontId="9" fillId="21" borderId="2" xfId="0" applyFont="1" applyFill="1" applyBorder="1" applyAlignment="1">
      <alignment horizontal="right" vertical="top" wrapText="1"/>
    </xf>
    <xf numFmtId="0" fontId="12" fillId="0" borderId="0" xfId="0" applyFont="1"/>
    <xf numFmtId="0" fontId="9" fillId="21" borderId="27" xfId="0" applyFont="1" applyFill="1" applyBorder="1" applyAlignment="1">
      <alignment horizontal="center" vertical="center"/>
    </xf>
    <xf numFmtId="0" fontId="9" fillId="21" borderId="24" xfId="0" applyFont="1" applyFill="1" applyBorder="1" applyAlignment="1">
      <alignment horizontal="center" vertical="center"/>
    </xf>
    <xf numFmtId="0" fontId="9" fillId="21" borderId="24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wrapText="1"/>
    </xf>
    <xf numFmtId="0" fontId="6" fillId="9" borderId="2" xfId="0" applyFont="1" applyFill="1" applyBorder="1" applyAlignment="1">
      <alignment horizontal="center" wrapText="1"/>
    </xf>
    <xf numFmtId="0" fontId="6" fillId="9" borderId="3" xfId="0" applyFont="1" applyFill="1" applyBorder="1" applyAlignment="1">
      <alignment horizontal="center" wrapText="1"/>
    </xf>
    <xf numFmtId="0" fontId="6" fillId="9" borderId="2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31" fillId="0" borderId="0" xfId="0" applyFont="1"/>
    <xf numFmtId="0" fontId="29" fillId="6" borderId="4" xfId="0" applyFont="1" applyFill="1" applyBorder="1" applyAlignment="1">
      <alignment horizontal="center" vertical="center"/>
    </xf>
    <xf numFmtId="0" fontId="29" fillId="6" borderId="5" xfId="0" applyFont="1" applyFill="1" applyBorder="1" applyAlignment="1">
      <alignment horizontal="center" vertical="center"/>
    </xf>
    <xf numFmtId="0" fontId="29" fillId="6" borderId="2" xfId="0" applyFont="1" applyFill="1" applyBorder="1" applyAlignment="1">
      <alignment horizontal="center" vertical="center"/>
    </xf>
    <xf numFmtId="0" fontId="29" fillId="6" borderId="3" xfId="0" applyFont="1" applyFill="1" applyBorder="1" applyAlignment="1">
      <alignment horizontal="center" vertical="center"/>
    </xf>
    <xf numFmtId="0" fontId="29" fillId="6" borderId="2" xfId="0" applyFont="1" applyFill="1" applyBorder="1" applyAlignment="1">
      <alignment horizontal="center" vertical="center" wrapText="1"/>
    </xf>
    <xf numFmtId="0" fontId="29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indent="5"/>
    </xf>
  </cellXfs>
  <cellStyles count="7">
    <cellStyle name="Milliers [0] 2" xfId="3"/>
    <cellStyle name="Milliers 2" xfId="1"/>
    <cellStyle name="Milliers 2 2" xfId="4"/>
    <cellStyle name="Milliers 3" xfId="2"/>
    <cellStyle name="Milliers 4" xfId="5"/>
    <cellStyle name="Milliers 5" xfId="6"/>
    <cellStyle name="Normal" xfId="0" builtinId="0"/>
  </cellStyles>
  <dxfs count="0"/>
  <tableStyles count="0" defaultTableStyle="TableStyleMedium2" defaultPivotStyle="PivotStyleLight16"/>
  <colors>
    <mruColors>
      <color rgb="FF98A4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104775</xdr:rowOff>
    </xdr:from>
    <xdr:to>
      <xdr:col>8</xdr:col>
      <xdr:colOff>561974</xdr:colOff>
      <xdr:row>3</xdr:row>
      <xdr:rowOff>85724</xdr:rowOff>
    </xdr:to>
    <xdr:grpSp>
      <xdr:nvGrpSpPr>
        <xdr:cNvPr id="10" name="Group 409191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123825" y="104775"/>
          <a:ext cx="6717029" cy="506729"/>
          <a:chOff x="0" y="-12393"/>
          <a:chExt cx="5848350" cy="396568"/>
        </a:xfrm>
      </xdr:grpSpPr>
      <xdr:sp macro="" textlink="">
        <xdr:nvSpPr>
          <xdr:cNvPr id="11" name="Rectangle 10">
            <a:extLst>
              <a:ext uri="{FF2B5EF4-FFF2-40B4-BE49-F238E27FC236}">
                <a16:creationId xmlns=""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79680" y="27406"/>
            <a:ext cx="50673" cy="224380"/>
          </a:xfrm>
          <a:prstGeom prst="rect">
            <a:avLst/>
          </a:prstGeom>
          <a:ln>
            <a:noFill/>
          </a:ln>
        </xdr:spPr>
        <xdr:txBody>
          <a:bodyPr lIns="0" tIns="0" rIns="0" bIns="0" rtlCol="0">
            <a:noAutofit/>
          </a:bodyPr>
          <a:lstStyle/>
          <a:p>
            <a:pPr>
              <a:lnSpc>
                <a:spcPct val="115000"/>
              </a:lnSpc>
              <a:spcAft>
                <a:spcPts val="0"/>
              </a:spcAft>
            </a:pPr>
            <a:r>
              <a:rPr lang="fr-FR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 </a:t>
            </a:r>
            <a:endParaRPr lang="fr-FR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2" name="Shape 508346">
            <a:extLst>
              <a:ext uri="{FF2B5EF4-FFF2-40B4-BE49-F238E27FC236}">
                <a16:creationId xmlns=""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0" y="76200"/>
            <a:ext cx="5772150" cy="307975"/>
          </a:xfrm>
          <a:custGeom>
            <a:avLst/>
            <a:gdLst/>
            <a:ahLst/>
            <a:cxnLst/>
            <a:rect l="0" t="0" r="0" b="0"/>
            <a:pathLst>
              <a:path w="5772150" h="307975">
                <a:moveTo>
                  <a:pt x="0" y="0"/>
                </a:moveTo>
                <a:lnTo>
                  <a:pt x="5772150" y="0"/>
                </a:lnTo>
                <a:lnTo>
                  <a:pt x="5772150" y="307975"/>
                </a:lnTo>
                <a:lnTo>
                  <a:pt x="0" y="30797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/>
          </a:lnRef>
          <a:fillRef idx="1">
            <a:srgbClr val="808080">
              <a:alpha val="50196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fr-FR"/>
          </a:p>
        </xdr:txBody>
      </xdr:sp>
      <xdr:sp macro="" textlink="">
        <xdr:nvSpPr>
          <xdr:cNvPr id="13" name="Shape 508347">
            <a:extLst>
              <a:ext uri="{FF2B5EF4-FFF2-40B4-BE49-F238E27FC236}">
                <a16:creationId xmlns=""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76200" y="-12393"/>
            <a:ext cx="5772150" cy="307975"/>
          </a:xfrm>
          <a:custGeom>
            <a:avLst/>
            <a:gdLst/>
            <a:ahLst/>
            <a:cxnLst/>
            <a:rect l="0" t="0" r="0" b="0"/>
            <a:pathLst>
              <a:path w="5772150" h="307975">
                <a:moveTo>
                  <a:pt x="0" y="0"/>
                </a:moveTo>
                <a:lnTo>
                  <a:pt x="5772150" y="0"/>
                </a:lnTo>
                <a:lnTo>
                  <a:pt x="5772150" y="307975"/>
                </a:lnTo>
                <a:lnTo>
                  <a:pt x="0" y="30797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/>
          </a:lnRef>
          <a:fillRef idx="1">
            <a:srgbClr val="4F81BD"/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fr-FR"/>
          </a:p>
        </xdr:txBody>
      </xdr:sp>
      <xdr:sp macro="" textlink="">
        <xdr:nvSpPr>
          <xdr:cNvPr id="14" name="Shape 48252">
            <a:extLst>
              <a:ext uri="{FF2B5EF4-FFF2-40B4-BE49-F238E27FC236}">
                <a16:creationId xmlns=""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76200" y="0"/>
            <a:ext cx="5772150" cy="307975"/>
          </a:xfrm>
          <a:custGeom>
            <a:avLst/>
            <a:gdLst/>
            <a:ahLst/>
            <a:cxnLst/>
            <a:rect l="0" t="0" r="0" b="0"/>
            <a:pathLst>
              <a:path w="5772150" h="307975">
                <a:moveTo>
                  <a:pt x="0" y="307975"/>
                </a:moveTo>
                <a:lnTo>
                  <a:pt x="5772150" y="307975"/>
                </a:lnTo>
                <a:lnTo>
                  <a:pt x="5772150" y="0"/>
                </a:lnTo>
                <a:lnTo>
                  <a:pt x="0" y="0"/>
                </a:lnTo>
                <a:close/>
              </a:path>
            </a:pathLst>
          </a:custGeom>
          <a:ln w="9525" cap="rnd">
            <a:miter lim="1270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fr-FR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=""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1275969" y="79365"/>
            <a:ext cx="3191221" cy="237150"/>
          </a:xfrm>
          <a:prstGeom prst="rect">
            <a:avLst/>
          </a:prstGeom>
          <a:ln>
            <a:noFill/>
          </a:ln>
        </xdr:spPr>
        <xdr:txBody>
          <a:bodyPr lIns="0" tIns="0" rIns="0" bIns="0" rtlCol="0">
            <a:noAutofit/>
          </a:bodyPr>
          <a:lstStyle/>
          <a:p>
            <a:pPr algn="ctr">
              <a:lnSpc>
                <a:spcPct val="115000"/>
              </a:lnSpc>
              <a:spcAft>
                <a:spcPts val="0"/>
              </a:spcAft>
            </a:pPr>
            <a:r>
              <a:rPr lang="fr-FR" sz="1400" b="1">
                <a:solidFill>
                  <a:srgbClr val="FFFFFF"/>
                </a:solidFill>
                <a:effectLst/>
                <a:latin typeface="Cambria" panose="02040503050406030204" pitchFamily="18" charset="0"/>
                <a:ea typeface="Cambria" panose="02040503050406030204" pitchFamily="18" charset="0"/>
                <a:cs typeface="Cambria" panose="02040503050406030204" pitchFamily="18" charset="0"/>
              </a:rPr>
              <a:t>PAGE</a:t>
            </a:r>
            <a:r>
              <a:rPr lang="fr-FR" sz="1400" b="1" baseline="0">
                <a:solidFill>
                  <a:srgbClr val="FFFFFF"/>
                </a:solidFill>
                <a:effectLst/>
                <a:latin typeface="Cambria" panose="02040503050406030204" pitchFamily="18" charset="0"/>
                <a:ea typeface="Cambria" panose="02040503050406030204" pitchFamily="18" charset="0"/>
                <a:cs typeface="Cambria" panose="02040503050406030204" pitchFamily="18" charset="0"/>
              </a:rPr>
              <a:t> DE GARDE</a:t>
            </a:r>
            <a:r>
              <a:rPr lang="fr-FR" sz="1400" b="1">
                <a:solidFill>
                  <a:srgbClr val="FFFFFF"/>
                </a:solidFill>
                <a:effectLst/>
                <a:latin typeface="Cambria" panose="02040503050406030204" pitchFamily="18" charset="0"/>
                <a:ea typeface="Cambria" panose="02040503050406030204" pitchFamily="18" charset="0"/>
                <a:cs typeface="Cambria" panose="02040503050406030204" pitchFamily="18" charset="0"/>
              </a:rPr>
              <a:t> </a:t>
            </a:r>
            <a:endParaRPr lang="fr-FR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=""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2116074" y="79365"/>
            <a:ext cx="3365628" cy="237150"/>
          </a:xfrm>
          <a:prstGeom prst="rect">
            <a:avLst/>
          </a:prstGeom>
          <a:ln>
            <a:noFill/>
          </a:ln>
        </xdr:spPr>
        <xdr:txBody>
          <a:bodyPr lIns="0" tIns="0" rIns="0" bIns="0" rtlCol="0">
            <a:noAutofit/>
          </a:bodyPr>
          <a:lstStyle/>
          <a:p>
            <a:pPr>
              <a:lnSpc>
                <a:spcPct val="115000"/>
              </a:lnSpc>
              <a:spcAft>
                <a:spcPts val="0"/>
              </a:spcAft>
            </a:pPr>
            <a:endParaRPr lang="fr-FR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=""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4647693" y="79365"/>
            <a:ext cx="52173" cy="237150"/>
          </a:xfrm>
          <a:prstGeom prst="rect">
            <a:avLst/>
          </a:prstGeom>
          <a:ln>
            <a:noFill/>
          </a:ln>
        </xdr:spPr>
        <xdr:txBody>
          <a:bodyPr lIns="0" tIns="0" rIns="0" bIns="0" rtlCol="0">
            <a:noAutofit/>
          </a:bodyPr>
          <a:lstStyle/>
          <a:p>
            <a:pPr>
              <a:lnSpc>
                <a:spcPct val="115000"/>
              </a:lnSpc>
              <a:spcAft>
                <a:spcPts val="0"/>
              </a:spcAft>
            </a:pPr>
            <a:r>
              <a:rPr lang="fr-FR" sz="1400" b="1">
                <a:solidFill>
                  <a:srgbClr val="FFFFFF"/>
                </a:solidFill>
                <a:effectLst/>
                <a:latin typeface="Cambria" panose="02040503050406030204" pitchFamily="18" charset="0"/>
                <a:ea typeface="Cambria" panose="02040503050406030204" pitchFamily="18" charset="0"/>
                <a:cs typeface="Cambria" panose="02040503050406030204" pitchFamily="18" charset="0"/>
              </a:rPr>
              <a:t> </a:t>
            </a:r>
            <a:endParaRPr lang="fr-FR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1200150</xdr:colOff>
      <xdr:row>0</xdr:row>
      <xdr:rowOff>171450</xdr:rowOff>
    </xdr:from>
    <xdr:to>
      <xdr:col>8</xdr:col>
      <xdr:colOff>1819275</xdr:colOff>
      <xdr:row>2</xdr:row>
      <xdr:rowOff>38100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6534150" y="171450"/>
          <a:ext cx="2543175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BILAN</a:t>
          </a:r>
          <a:endParaRPr lang="fr-FR" sz="1300" b="1" baseline="0">
            <a:solidFill>
              <a:srgbClr val="FFFF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1362075</xdr:colOff>
      <xdr:row>1</xdr:row>
      <xdr:rowOff>85725</xdr:rowOff>
    </xdr:from>
    <xdr:to>
      <xdr:col>3</xdr:col>
      <xdr:colOff>323850</xdr:colOff>
      <xdr:row>3</xdr:row>
      <xdr:rowOff>28575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1724025" y="276225"/>
          <a:ext cx="3248025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COMPTE </a:t>
          </a:r>
          <a:r>
            <a:rPr lang="fr-FR" sz="13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DE RESULTAT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1533525</xdr:colOff>
      <xdr:row>2</xdr:row>
      <xdr:rowOff>85725</xdr:rowOff>
    </xdr:from>
    <xdr:to>
      <xdr:col>5</xdr:col>
      <xdr:colOff>342900</xdr:colOff>
      <xdr:row>4</xdr:row>
      <xdr:rowOff>28575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SpPr/>
      </xdr:nvSpPr>
      <xdr:spPr>
        <a:xfrm>
          <a:off x="1924050" y="466725"/>
          <a:ext cx="4476750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TABLEAU D'EXECUTION</a:t>
          </a:r>
          <a:r>
            <a:rPr lang="fr-FR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BUDGETAIRE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2057400</xdr:colOff>
      <xdr:row>0</xdr:row>
      <xdr:rowOff>123825</xdr:rowOff>
    </xdr:from>
    <xdr:to>
      <xdr:col>4</xdr:col>
      <xdr:colOff>609600</xdr:colOff>
      <xdr:row>2</xdr:row>
      <xdr:rowOff>66675</xdr:rowOff>
    </xdr:to>
    <xdr:sp macro="" textlink="">
      <xdr:nvSpPr>
        <xdr:cNvPr id="3" name="Rectangle à coins arrondis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SpPr/>
      </xdr:nvSpPr>
      <xdr:spPr>
        <a:xfrm>
          <a:off x="2371725" y="123825"/>
          <a:ext cx="3248025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TABLEAU DE FLUX DE TRESORERIE</a:t>
          </a:r>
          <a:endParaRPr lang="fr-FR" sz="1300" b="1" baseline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314326</xdr:colOff>
      <xdr:row>0</xdr:row>
      <xdr:rowOff>142875</xdr:rowOff>
    </xdr:from>
    <xdr:to>
      <xdr:col>3</xdr:col>
      <xdr:colOff>9526</xdr:colOff>
      <xdr:row>2</xdr:row>
      <xdr:rowOff>85725</xdr:rowOff>
    </xdr:to>
    <xdr:sp macro="" textlink="">
      <xdr:nvSpPr>
        <xdr:cNvPr id="3" name="Rectangle à coins arrondis 2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SpPr/>
      </xdr:nvSpPr>
      <xdr:spPr>
        <a:xfrm>
          <a:off x="1076326" y="142875"/>
          <a:ext cx="5905500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FICHE</a:t>
          </a:r>
          <a:r>
            <a:rPr lang="fr-FR" sz="13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RECAPITULATIVE DES NOTES ANNEXES PRESENTEES </a:t>
          </a:r>
          <a:endParaRPr lang="fr-FR" sz="1300" i="0">
            <a:effectLst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266701</xdr:colOff>
      <xdr:row>1</xdr:row>
      <xdr:rowOff>76199</xdr:rowOff>
    </xdr:from>
    <xdr:to>
      <xdr:col>5</xdr:col>
      <xdr:colOff>647700</xdr:colOff>
      <xdr:row>4</xdr:row>
      <xdr:rowOff>123825</xdr:rowOff>
    </xdr:to>
    <xdr:sp macro="" textlink="">
      <xdr:nvSpPr>
        <xdr:cNvPr id="3" name="Rectangle à coins arrondis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SpPr/>
      </xdr:nvSpPr>
      <xdr:spPr>
        <a:xfrm>
          <a:off x="266701" y="76199"/>
          <a:ext cx="6734174" cy="619126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</a:t>
          </a:r>
          <a:r>
            <a:rPr lang="fr-FR" sz="1300" b="1" baseline="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1 : DETTES GARANTIES PAR DES SURETES REELLES, ENGAGEMENTS FINANCIERS ET CONTRIBUTION VOLONTAIRES EN NATURE</a:t>
          </a:r>
          <a:endParaRPr lang="fr-FR" sz="13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1257300</xdr:colOff>
      <xdr:row>0</xdr:row>
      <xdr:rowOff>142875</xdr:rowOff>
    </xdr:from>
    <xdr:to>
      <xdr:col>0</xdr:col>
      <xdr:colOff>5086350</xdr:colOff>
      <xdr:row>2</xdr:row>
      <xdr:rowOff>85725</xdr:rowOff>
    </xdr:to>
    <xdr:sp macro="" textlink="">
      <xdr:nvSpPr>
        <xdr:cNvPr id="3" name="Rectangle à coins arrondis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SpPr/>
      </xdr:nvSpPr>
      <xdr:spPr>
        <a:xfrm>
          <a:off x="1257300" y="142875"/>
          <a:ext cx="3829050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</a:t>
          </a:r>
          <a:r>
            <a:rPr lang="fr-FR" sz="1300" b="1" baseline="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2: INFORMATIONS OBLIGATOIRES</a:t>
          </a:r>
          <a:endParaRPr lang="fr-FR" sz="1300" b="1" baseline="0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9523</xdr:colOff>
      <xdr:row>1</xdr:row>
      <xdr:rowOff>66675</xdr:rowOff>
    </xdr:from>
    <xdr:to>
      <xdr:col>0</xdr:col>
      <xdr:colOff>5962649</xdr:colOff>
      <xdr:row>3</xdr:row>
      <xdr:rowOff>9525</xdr:rowOff>
    </xdr:to>
    <xdr:sp macro="" textlink="">
      <xdr:nvSpPr>
        <xdr:cNvPr id="3" name="Rectangle à coins arrondis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/>
      </xdr:nvSpPr>
      <xdr:spPr>
        <a:xfrm flipH="1">
          <a:off x="9523" y="257175"/>
          <a:ext cx="5953126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 3 :</a:t>
          </a:r>
          <a:r>
            <a:rPr lang="fr-FR" sz="1300" b="1" baseline="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EVENEMENTS POSTERIEURS A LA CLOTURE DE L'EXERCICE</a:t>
          </a:r>
          <a:endParaRPr lang="fr-FR" sz="13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</xdr:row>
      <xdr:rowOff>85725</xdr:rowOff>
    </xdr:from>
    <xdr:to>
      <xdr:col>0</xdr:col>
      <xdr:colOff>5714999</xdr:colOff>
      <xdr:row>4</xdr:row>
      <xdr:rowOff>114300</xdr:rowOff>
    </xdr:to>
    <xdr:sp macro="" textlink="">
      <xdr:nvSpPr>
        <xdr:cNvPr id="4" name="Rectangle à coins arrondis 3">
          <a:extLst>
            <a:ext uri="{FF2B5EF4-FFF2-40B4-BE49-F238E27FC236}">
              <a16:creationId xmlns="" xmlns:a16="http://schemas.microsoft.com/office/drawing/2014/main" id="{00000000-0008-0000-0900-000004000000}"/>
            </a:ext>
          </a:extLst>
        </xdr:cNvPr>
        <xdr:cNvSpPr/>
      </xdr:nvSpPr>
      <xdr:spPr>
        <a:xfrm>
          <a:off x="123824" y="276225"/>
          <a:ext cx="5591175" cy="600075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 4 : CHANGEMENTS DE METHODES</a:t>
          </a:r>
          <a:r>
            <a:rPr lang="fr-FR" sz="1300" b="1" baseline="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COMPTABLES, D'ESTIMATIONS ET CORRECTIONS D'ERREURS</a:t>
          </a:r>
          <a:endParaRPr lang="fr-FR" sz="13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7</xdr:row>
      <xdr:rowOff>22860</xdr:rowOff>
    </xdr:from>
    <xdr:to>
      <xdr:col>1</xdr:col>
      <xdr:colOff>30480</xdr:colOff>
      <xdr:row>9</xdr:row>
      <xdr:rowOff>0</xdr:rowOff>
    </xdr:to>
    <xdr:cxnSp macro="">
      <xdr:nvCxnSpPr>
        <xdr:cNvPr id="2" name="Connecteur droit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22860" y="1356360"/>
          <a:ext cx="2807970" cy="11201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1438275</xdr:colOff>
      <xdr:row>3</xdr:row>
      <xdr:rowOff>19050</xdr:rowOff>
    </xdr:from>
    <xdr:to>
      <xdr:col>6</xdr:col>
      <xdr:colOff>457200</xdr:colOff>
      <xdr:row>5</xdr:row>
      <xdr:rowOff>171450</xdr:rowOff>
    </xdr:to>
    <xdr:sp macro="" textlink="">
      <xdr:nvSpPr>
        <xdr:cNvPr id="4" name="Rectangle à coins arrondis 3">
          <a:extLst>
            <a:ext uri="{FF2B5EF4-FFF2-40B4-BE49-F238E27FC236}">
              <a16:creationId xmlns="" xmlns:a16="http://schemas.microsoft.com/office/drawing/2014/main" id="{00000000-0008-0000-0A00-000004000000}"/>
            </a:ext>
          </a:extLst>
        </xdr:cNvPr>
        <xdr:cNvSpPr/>
      </xdr:nvSpPr>
      <xdr:spPr>
        <a:xfrm>
          <a:off x="1438275" y="590550"/>
          <a:ext cx="6010275" cy="53340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 5A: DONS ET LEGS</a:t>
          </a:r>
          <a:r>
            <a:rPr lang="fr-FR" sz="1300" b="1" baseline="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D'IMMOBILISTIONS NON RECUS DESTINES A LA VENTE ET USUFRUIT TEMPORAIRE</a:t>
          </a:r>
          <a:endParaRPr lang="fr-FR" sz="13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19050</xdr:rowOff>
    </xdr:from>
    <xdr:to>
      <xdr:col>1</xdr:col>
      <xdr:colOff>0</xdr:colOff>
      <xdr:row>7</xdr:row>
      <xdr:rowOff>942975</xdr:rowOff>
    </xdr:to>
    <xdr:cxnSp macro="">
      <xdr:nvCxnSpPr>
        <xdr:cNvPr id="2" name="Connecteur droit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0" y="1162050"/>
          <a:ext cx="3276600" cy="11144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1762125</xdr:colOff>
      <xdr:row>3</xdr:row>
      <xdr:rowOff>66675</xdr:rowOff>
    </xdr:from>
    <xdr:to>
      <xdr:col>6</xdr:col>
      <xdr:colOff>85725</xdr:colOff>
      <xdr:row>5</xdr:row>
      <xdr:rowOff>9525</xdr:rowOff>
    </xdr:to>
    <xdr:sp macro="" textlink="">
      <xdr:nvSpPr>
        <xdr:cNvPr id="4" name="Rectangle à coins arrondis 3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SpPr/>
      </xdr:nvSpPr>
      <xdr:spPr>
        <a:xfrm>
          <a:off x="1762125" y="638175"/>
          <a:ext cx="5838825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 5B: IMMOBILSATIONS BRUTES</a:t>
          </a:r>
          <a:endParaRPr lang="fr-FR" sz="13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3</xdr:row>
      <xdr:rowOff>22860</xdr:rowOff>
    </xdr:from>
    <xdr:to>
      <xdr:col>1</xdr:col>
      <xdr:colOff>47625</xdr:colOff>
      <xdr:row>5</xdr:row>
      <xdr:rowOff>19050</xdr:rowOff>
    </xdr:to>
    <xdr:cxnSp macro="">
      <xdr:nvCxnSpPr>
        <xdr:cNvPr id="2" name="Connecteur droit 1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CxnSpPr/>
      </xdr:nvCxnSpPr>
      <xdr:spPr>
        <a:xfrm>
          <a:off x="22860" y="594360"/>
          <a:ext cx="2625090" cy="145351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3181350</xdr:colOff>
      <xdr:row>0</xdr:row>
      <xdr:rowOff>123825</xdr:rowOff>
    </xdr:from>
    <xdr:to>
      <xdr:col>7</xdr:col>
      <xdr:colOff>381000</xdr:colOff>
      <xdr:row>2</xdr:row>
      <xdr:rowOff>66675</xdr:rowOff>
    </xdr:to>
    <xdr:sp macro="" textlink="">
      <xdr:nvSpPr>
        <xdr:cNvPr id="4" name="Rectangle à coins arrondis 3">
          <a:extLst>
            <a:ext uri="{FF2B5EF4-FFF2-40B4-BE49-F238E27FC236}">
              <a16:creationId xmlns="" xmlns:a16="http://schemas.microsoft.com/office/drawing/2014/main" id="{00000000-0008-0000-0C00-000004000000}"/>
            </a:ext>
          </a:extLst>
        </xdr:cNvPr>
        <xdr:cNvSpPr/>
      </xdr:nvSpPr>
      <xdr:spPr>
        <a:xfrm>
          <a:off x="3181350" y="123825"/>
          <a:ext cx="5743575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 5C:</a:t>
          </a:r>
          <a:r>
            <a:rPr lang="fr-FR" sz="1300" b="1" baseline="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BIEN PRIS EN LOCATION-ACQUISITION</a:t>
          </a:r>
          <a:endParaRPr lang="fr-FR" sz="13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1</xdr:col>
      <xdr:colOff>28575</xdr:colOff>
      <xdr:row>10</xdr:row>
      <xdr:rowOff>28575</xdr:rowOff>
    </xdr:to>
    <xdr:cxnSp macro="">
      <xdr:nvCxnSpPr>
        <xdr:cNvPr id="2" name="Connecteur droit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0" y="200025"/>
          <a:ext cx="2647950" cy="19240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1476375</xdr:colOff>
      <xdr:row>1</xdr:row>
      <xdr:rowOff>142874</xdr:rowOff>
    </xdr:from>
    <xdr:to>
      <xdr:col>5</xdr:col>
      <xdr:colOff>342900</xdr:colOff>
      <xdr:row>5</xdr:row>
      <xdr:rowOff>152399</xdr:rowOff>
    </xdr:to>
    <xdr:sp macro="" textlink="">
      <xdr:nvSpPr>
        <xdr:cNvPr id="5" name="Rectangle à coins arrondis 4">
          <a:extLst>
            <a:ext uri="{FF2B5EF4-FFF2-40B4-BE49-F238E27FC236}">
              <a16:creationId xmlns="" xmlns:a16="http://schemas.microsoft.com/office/drawing/2014/main" id="{00000000-0008-0000-0D00-000005000000}"/>
            </a:ext>
          </a:extLst>
        </xdr:cNvPr>
        <xdr:cNvSpPr/>
      </xdr:nvSpPr>
      <xdr:spPr>
        <a:xfrm>
          <a:off x="1476375" y="333374"/>
          <a:ext cx="6010275" cy="771525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 5D:</a:t>
          </a:r>
          <a:r>
            <a:rPr lang="fr-FR" sz="1300" b="1" baseline="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DONS ET LEGS D'IMMOBILISATONS NON </a:t>
          </a:r>
          <a:r>
            <a:rPr lang="fr-FR" sz="1300" b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REÇUS DESTINES A LA VENTE</a:t>
          </a:r>
          <a:r>
            <a:rPr lang="fr-FR" sz="1300" b="1" baseline="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ET USUFRUT TEMPORAIRE ( AMORTISSEMENTS ET DEPRECIATIONS) </a:t>
          </a:r>
          <a:endParaRPr lang="fr-FR" sz="13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</xdr:colOff>
      <xdr:row>3</xdr:row>
      <xdr:rowOff>3810</xdr:rowOff>
    </xdr:from>
    <xdr:to>
      <xdr:col>1</xdr:col>
      <xdr:colOff>20955</xdr:colOff>
      <xdr:row>6</xdr:row>
      <xdr:rowOff>1123950</xdr:rowOff>
    </xdr:to>
    <xdr:cxnSp macro="">
      <xdr:nvCxnSpPr>
        <xdr:cNvPr id="2" name="Connecteur droit 1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CxnSpPr/>
      </xdr:nvCxnSpPr>
      <xdr:spPr>
        <a:xfrm>
          <a:off x="13335" y="575310"/>
          <a:ext cx="3074670" cy="16916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1552575</xdr:colOff>
      <xdr:row>0</xdr:row>
      <xdr:rowOff>95250</xdr:rowOff>
    </xdr:from>
    <xdr:to>
      <xdr:col>4</xdr:col>
      <xdr:colOff>1057275</xdr:colOff>
      <xdr:row>2</xdr:row>
      <xdr:rowOff>38100</xdr:rowOff>
    </xdr:to>
    <xdr:sp macro="" textlink="">
      <xdr:nvSpPr>
        <xdr:cNvPr id="4" name="Rectangle à coins arrondis 3">
          <a:extLst>
            <a:ext uri="{FF2B5EF4-FFF2-40B4-BE49-F238E27FC236}">
              <a16:creationId xmlns="" xmlns:a16="http://schemas.microsoft.com/office/drawing/2014/main" id="{00000000-0008-0000-0E00-000004000000}"/>
            </a:ext>
          </a:extLst>
        </xdr:cNvPr>
        <xdr:cNvSpPr/>
      </xdr:nvSpPr>
      <xdr:spPr>
        <a:xfrm>
          <a:off x="1552575" y="95250"/>
          <a:ext cx="5419725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 5E:</a:t>
          </a:r>
          <a:r>
            <a:rPr lang="fr-FR" sz="1300" b="1" baseline="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IMMOBILISTIONS (AMORTISSEMENTS)</a:t>
          </a:r>
          <a:endParaRPr lang="fr-FR" sz="13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3</xdr:row>
      <xdr:rowOff>22860</xdr:rowOff>
    </xdr:from>
    <xdr:to>
      <xdr:col>1</xdr:col>
      <xdr:colOff>30480</xdr:colOff>
      <xdr:row>5</xdr:row>
      <xdr:rowOff>0</xdr:rowOff>
    </xdr:to>
    <xdr:cxnSp macro="">
      <xdr:nvCxnSpPr>
        <xdr:cNvPr id="2" name="Connecteur droit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22860" y="594360"/>
          <a:ext cx="3141345" cy="9296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2276475</xdr:colOff>
      <xdr:row>0</xdr:row>
      <xdr:rowOff>133350</xdr:rowOff>
    </xdr:from>
    <xdr:to>
      <xdr:col>4</xdr:col>
      <xdr:colOff>180975</xdr:colOff>
      <xdr:row>2</xdr:row>
      <xdr:rowOff>76200</xdr:rowOff>
    </xdr:to>
    <xdr:sp macro="" textlink="">
      <xdr:nvSpPr>
        <xdr:cNvPr id="4" name="Rectangle à coins arrondis 3">
          <a:extLst>
            <a:ext uri="{FF2B5EF4-FFF2-40B4-BE49-F238E27FC236}">
              <a16:creationId xmlns="" xmlns:a16="http://schemas.microsoft.com/office/drawing/2014/main" id="{00000000-0008-0000-0F00-000004000000}"/>
            </a:ext>
          </a:extLst>
        </xdr:cNvPr>
        <xdr:cNvSpPr/>
      </xdr:nvSpPr>
      <xdr:spPr>
        <a:xfrm>
          <a:off x="2276475" y="133350"/>
          <a:ext cx="5676900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 5F:</a:t>
          </a:r>
          <a:r>
            <a:rPr lang="fr-FR" sz="1300" b="1" baseline="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IMMOBILISTIONS (DEPRECIATIONS)</a:t>
          </a:r>
          <a:endParaRPr lang="fr-FR" sz="13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22860</xdr:rowOff>
    </xdr:from>
    <xdr:to>
      <xdr:col>1</xdr:col>
      <xdr:colOff>15240</xdr:colOff>
      <xdr:row>9</xdr:row>
      <xdr:rowOff>0</xdr:rowOff>
    </xdr:to>
    <xdr:cxnSp macro="">
      <xdr:nvCxnSpPr>
        <xdr:cNvPr id="2" name="Connecteur droit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0" y="594360"/>
          <a:ext cx="3453765" cy="7391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771526</xdr:colOff>
      <xdr:row>1</xdr:row>
      <xdr:rowOff>152400</xdr:rowOff>
    </xdr:from>
    <xdr:to>
      <xdr:col>5</xdr:col>
      <xdr:colOff>695326</xdr:colOff>
      <xdr:row>4</xdr:row>
      <xdr:rowOff>76200</xdr:rowOff>
    </xdr:to>
    <xdr:sp macro="" textlink="">
      <xdr:nvSpPr>
        <xdr:cNvPr id="4" name="Rectangle à coins arrondis 3">
          <a:extLst>
            <a:ext uri="{FF2B5EF4-FFF2-40B4-BE49-F238E27FC236}">
              <a16:creationId xmlns="" xmlns:a16="http://schemas.microsoft.com/office/drawing/2014/main" id="{00000000-0008-0000-1000-000004000000}"/>
            </a:ext>
          </a:extLst>
        </xdr:cNvPr>
        <xdr:cNvSpPr/>
      </xdr:nvSpPr>
      <xdr:spPr>
        <a:xfrm>
          <a:off x="771526" y="342900"/>
          <a:ext cx="6743700" cy="49530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NOTE 5G:</a:t>
          </a:r>
          <a:r>
            <a:rPr lang="fr-FR" sz="1300" b="1" baseline="0">
              <a:solidFill>
                <a:schemeClr val="lt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IMMOBILISTIONS: PLUS-VALUES ET MOINS-VALUES DE CESSION</a:t>
          </a:r>
          <a:endParaRPr lang="fr-FR" sz="13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1</xdr:row>
      <xdr:rowOff>66674</xdr:rowOff>
    </xdr:from>
    <xdr:to>
      <xdr:col>3</xdr:col>
      <xdr:colOff>895349</xdr:colOff>
      <xdr:row>4</xdr:row>
      <xdr:rowOff>76199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SpPr/>
      </xdr:nvSpPr>
      <xdr:spPr>
        <a:xfrm>
          <a:off x="66674" y="257174"/>
          <a:ext cx="4962525" cy="581025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/>
            <a:t>NOTE 5H:</a:t>
          </a:r>
          <a:r>
            <a:rPr lang="fr-FR" sz="1300" b="1" baseline="0"/>
            <a:t> INFOTMATION SUR LES REEVALUATIONS EFFECTUEES PAR L'ENTITE</a:t>
          </a:r>
          <a:endParaRPr lang="fr-FR" sz="1300" b="1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</xdr:row>
      <xdr:rowOff>123825</xdr:rowOff>
    </xdr:from>
    <xdr:to>
      <xdr:col>6</xdr:col>
      <xdr:colOff>647700</xdr:colOff>
      <xdr:row>4</xdr:row>
      <xdr:rowOff>66675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SpPr/>
      </xdr:nvSpPr>
      <xdr:spPr>
        <a:xfrm>
          <a:off x="209550" y="504825"/>
          <a:ext cx="6115050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6 : IMMOBILISATION FINANCIERES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2</xdr:row>
      <xdr:rowOff>0</xdr:rowOff>
    </xdr:from>
    <xdr:to>
      <xdr:col>4</xdr:col>
      <xdr:colOff>609600</xdr:colOff>
      <xdr:row>3</xdr:row>
      <xdr:rowOff>133350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SpPr/>
      </xdr:nvSpPr>
      <xdr:spPr>
        <a:xfrm>
          <a:off x="295275" y="381000"/>
          <a:ext cx="6115050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7 : ACTIF CIRCULANT ET DETTES CIRCULANTES HAO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</xdr:row>
      <xdr:rowOff>0</xdr:rowOff>
    </xdr:from>
    <xdr:to>
      <xdr:col>5</xdr:col>
      <xdr:colOff>638175</xdr:colOff>
      <xdr:row>3</xdr:row>
      <xdr:rowOff>133350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SpPr/>
      </xdr:nvSpPr>
      <xdr:spPr>
        <a:xfrm>
          <a:off x="133350" y="381000"/>
          <a:ext cx="6257925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8 : STOCKS</a:t>
          </a:r>
          <a:r>
            <a:rPr lang="fr-FR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ET ENCOURS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2</xdr:row>
      <xdr:rowOff>38100</xdr:rowOff>
    </xdr:from>
    <xdr:to>
      <xdr:col>6</xdr:col>
      <xdr:colOff>466725</xdr:colOff>
      <xdr:row>3</xdr:row>
      <xdr:rowOff>171450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SpPr/>
      </xdr:nvSpPr>
      <xdr:spPr>
        <a:xfrm>
          <a:off x="504825" y="419100"/>
          <a:ext cx="6257925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9 : ADHERENTS</a:t>
          </a:r>
          <a:r>
            <a:rPr lang="fr-FR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, CLIENTS-USAGERS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2</xdr:row>
      <xdr:rowOff>76200</xdr:rowOff>
    </xdr:from>
    <xdr:to>
      <xdr:col>7</xdr:col>
      <xdr:colOff>104775</xdr:colOff>
      <xdr:row>4</xdr:row>
      <xdr:rowOff>19050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1600-000002000000}"/>
            </a:ext>
          </a:extLst>
        </xdr:cNvPr>
        <xdr:cNvSpPr/>
      </xdr:nvSpPr>
      <xdr:spPr>
        <a:xfrm>
          <a:off x="247650" y="457200"/>
          <a:ext cx="6257925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10 : AUTRES</a:t>
          </a:r>
          <a:r>
            <a:rPr lang="fr-FR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CREANCES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</xdr:row>
      <xdr:rowOff>66675</xdr:rowOff>
    </xdr:from>
    <xdr:to>
      <xdr:col>4</xdr:col>
      <xdr:colOff>704850</xdr:colOff>
      <xdr:row>4</xdr:row>
      <xdr:rowOff>9525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1700-000002000000}"/>
            </a:ext>
          </a:extLst>
        </xdr:cNvPr>
        <xdr:cNvSpPr/>
      </xdr:nvSpPr>
      <xdr:spPr>
        <a:xfrm>
          <a:off x="76200" y="447675"/>
          <a:ext cx="5743575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11 : TITRE DE PLACEMENT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2</xdr:row>
      <xdr:rowOff>95250</xdr:rowOff>
    </xdr:from>
    <xdr:to>
      <xdr:col>5</xdr:col>
      <xdr:colOff>19051</xdr:colOff>
      <xdr:row>4</xdr:row>
      <xdr:rowOff>38100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SpPr/>
      </xdr:nvSpPr>
      <xdr:spPr>
        <a:xfrm>
          <a:off x="57151" y="476250"/>
          <a:ext cx="5924550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12 : VALEUR A ENCAISSER</a:t>
          </a:r>
          <a:endParaRPr lang="fr-FR" sz="13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</xdr:row>
      <xdr:rowOff>85725</xdr:rowOff>
    </xdr:from>
    <xdr:to>
      <xdr:col>4</xdr:col>
      <xdr:colOff>590550</xdr:colOff>
      <xdr:row>4</xdr:row>
      <xdr:rowOff>28575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1900-000002000000}"/>
            </a:ext>
          </a:extLst>
        </xdr:cNvPr>
        <xdr:cNvSpPr/>
      </xdr:nvSpPr>
      <xdr:spPr>
        <a:xfrm>
          <a:off x="95250" y="466725"/>
          <a:ext cx="5705475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13 : DISPONIBILITES</a:t>
          </a:r>
          <a:endParaRPr lang="fr-FR" sz="13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</xdr:row>
      <xdr:rowOff>76200</xdr:rowOff>
    </xdr:from>
    <xdr:to>
      <xdr:col>5</xdr:col>
      <xdr:colOff>723900</xdr:colOff>
      <xdr:row>4</xdr:row>
      <xdr:rowOff>19050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SpPr/>
      </xdr:nvSpPr>
      <xdr:spPr>
        <a:xfrm>
          <a:off x="76200" y="457200"/>
          <a:ext cx="6010275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14 : ECARTS DE  CONVERSION</a:t>
          </a:r>
          <a:endParaRPr lang="fr-FR" sz="13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114300</xdr:rowOff>
    </xdr:from>
    <xdr:to>
      <xdr:col>3</xdr:col>
      <xdr:colOff>1152525</xdr:colOff>
      <xdr:row>4</xdr:row>
      <xdr:rowOff>57150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SpPr/>
      </xdr:nvSpPr>
      <xdr:spPr>
        <a:xfrm>
          <a:off x="47625" y="495300"/>
          <a:ext cx="4972050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15: DOTATION</a:t>
          </a:r>
          <a:endParaRPr lang="fr-FR" sz="13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</xdr:row>
      <xdr:rowOff>123825</xdr:rowOff>
    </xdr:from>
    <xdr:to>
      <xdr:col>4</xdr:col>
      <xdr:colOff>723900</xdr:colOff>
      <xdr:row>4</xdr:row>
      <xdr:rowOff>66675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1C00-000002000000}"/>
            </a:ext>
          </a:extLst>
        </xdr:cNvPr>
        <xdr:cNvSpPr/>
      </xdr:nvSpPr>
      <xdr:spPr>
        <a:xfrm>
          <a:off x="76200" y="504825"/>
          <a:ext cx="5657850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16: RESERVES</a:t>
          </a:r>
          <a:endParaRPr lang="fr-FR" sz="13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104775</xdr:rowOff>
    </xdr:from>
    <xdr:to>
      <xdr:col>7</xdr:col>
      <xdr:colOff>609600</xdr:colOff>
      <xdr:row>4</xdr:row>
      <xdr:rowOff>47625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1D00-000002000000}"/>
            </a:ext>
          </a:extLst>
        </xdr:cNvPr>
        <xdr:cNvSpPr/>
      </xdr:nvSpPr>
      <xdr:spPr>
        <a:xfrm>
          <a:off x="190500" y="485775"/>
          <a:ext cx="7334250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17A: SUBVENTIONS</a:t>
          </a:r>
          <a:r>
            <a:rPr lang="fr-FR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ET PROVISIONS REGLEMENTEES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2</xdr:row>
      <xdr:rowOff>76200</xdr:rowOff>
    </xdr:from>
    <xdr:to>
      <xdr:col>5</xdr:col>
      <xdr:colOff>742950</xdr:colOff>
      <xdr:row>4</xdr:row>
      <xdr:rowOff>19050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1E00-000002000000}"/>
            </a:ext>
          </a:extLst>
        </xdr:cNvPr>
        <xdr:cNvSpPr/>
      </xdr:nvSpPr>
      <xdr:spPr>
        <a:xfrm>
          <a:off x="66674" y="457200"/>
          <a:ext cx="6286501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17B: FONDS</a:t>
          </a:r>
          <a:r>
            <a:rPr lang="fr-FR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AFFECTES ET REPORTES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2</xdr:row>
      <xdr:rowOff>9525</xdr:rowOff>
    </xdr:from>
    <xdr:to>
      <xdr:col>7</xdr:col>
      <xdr:colOff>38101</xdr:colOff>
      <xdr:row>3</xdr:row>
      <xdr:rowOff>142875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1F00-000002000000}"/>
            </a:ext>
          </a:extLst>
        </xdr:cNvPr>
        <xdr:cNvSpPr/>
      </xdr:nvSpPr>
      <xdr:spPr>
        <a:xfrm>
          <a:off x="476250" y="390525"/>
          <a:ext cx="6286501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18A: DETTES</a:t>
          </a:r>
          <a:r>
            <a:rPr lang="fr-FR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FINANCIERES ET RESSOURCES ASSIMILEES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66676</xdr:colOff>
      <xdr:row>2</xdr:row>
      <xdr:rowOff>142875</xdr:rowOff>
    </xdr:from>
    <xdr:to>
      <xdr:col>3</xdr:col>
      <xdr:colOff>28576</xdr:colOff>
      <xdr:row>4</xdr:row>
      <xdr:rowOff>85725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2000-000002000000}"/>
            </a:ext>
          </a:extLst>
        </xdr:cNvPr>
        <xdr:cNvSpPr/>
      </xdr:nvSpPr>
      <xdr:spPr>
        <a:xfrm>
          <a:off x="66676" y="523875"/>
          <a:ext cx="4972050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18B: ACTIFS ET PASSIFS EVENTUELS</a:t>
          </a:r>
          <a:endParaRPr lang="fr-FR" sz="13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</xdr:row>
      <xdr:rowOff>28575</xdr:rowOff>
    </xdr:from>
    <xdr:to>
      <xdr:col>7</xdr:col>
      <xdr:colOff>590550</xdr:colOff>
      <xdr:row>3</xdr:row>
      <xdr:rowOff>161925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2100-000002000000}"/>
            </a:ext>
          </a:extLst>
        </xdr:cNvPr>
        <xdr:cNvSpPr/>
      </xdr:nvSpPr>
      <xdr:spPr>
        <a:xfrm>
          <a:off x="114300" y="409575"/>
          <a:ext cx="7067550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19: FOURNISSEURS D'EXPLOITATION</a:t>
          </a:r>
          <a:endParaRPr lang="fr-FR" sz="13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180975</xdr:rowOff>
    </xdr:from>
    <xdr:to>
      <xdr:col>7</xdr:col>
      <xdr:colOff>457200</xdr:colOff>
      <xdr:row>3</xdr:row>
      <xdr:rowOff>123825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SpPr/>
      </xdr:nvSpPr>
      <xdr:spPr>
        <a:xfrm>
          <a:off x="95250" y="371475"/>
          <a:ext cx="6972300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20: DETTES FISCALES ET SOCIALES</a:t>
          </a:r>
          <a:endParaRPr lang="fr-FR" sz="13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0</xdr:row>
      <xdr:rowOff>161924</xdr:rowOff>
    </xdr:from>
    <xdr:to>
      <xdr:col>7</xdr:col>
      <xdr:colOff>228600</xdr:colOff>
      <xdr:row>3</xdr:row>
      <xdr:rowOff>190499</xdr:rowOff>
    </xdr:to>
    <xdr:sp macro="" textlink="">
      <xdr:nvSpPr>
        <xdr:cNvPr id="3" name="Rectangle à coins arrondis 2">
          <a:extLst>
            <a:ext uri="{FF2B5EF4-FFF2-40B4-BE49-F238E27FC236}">
              <a16:creationId xmlns="" xmlns:a16="http://schemas.microsoft.com/office/drawing/2014/main" id="{00000000-0008-0000-2300-000003000000}"/>
            </a:ext>
          </a:extLst>
        </xdr:cNvPr>
        <xdr:cNvSpPr/>
      </xdr:nvSpPr>
      <xdr:spPr>
        <a:xfrm>
          <a:off x="314325" y="161924"/>
          <a:ext cx="6315075" cy="600075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21: AUTRES DETTES ET PROVISIONS</a:t>
          </a:r>
          <a:r>
            <a:rPr lang="fr-FR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POUR RIQUES ET CHARGES A COURT TERME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180974</xdr:colOff>
      <xdr:row>1</xdr:row>
      <xdr:rowOff>180974</xdr:rowOff>
    </xdr:from>
    <xdr:to>
      <xdr:col>5</xdr:col>
      <xdr:colOff>9524</xdr:colOff>
      <xdr:row>4</xdr:row>
      <xdr:rowOff>9525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2400-000002000000}"/>
            </a:ext>
          </a:extLst>
        </xdr:cNvPr>
        <xdr:cNvSpPr/>
      </xdr:nvSpPr>
      <xdr:spPr>
        <a:xfrm>
          <a:off x="180974" y="371474"/>
          <a:ext cx="5514975" cy="400051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22: BANQUES, CREDIT D'ESCOMPTE ET DE TRESORERIE</a:t>
          </a:r>
          <a:endParaRPr lang="fr-FR" sz="13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2</xdr:row>
      <xdr:rowOff>114300</xdr:rowOff>
    </xdr:from>
    <xdr:to>
      <xdr:col>4</xdr:col>
      <xdr:colOff>142875</xdr:colOff>
      <xdr:row>4</xdr:row>
      <xdr:rowOff>123825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SpPr/>
      </xdr:nvSpPr>
      <xdr:spPr>
        <a:xfrm>
          <a:off x="238125" y="495300"/>
          <a:ext cx="5381625" cy="390525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23: REVENU ET AUTRES PRODUITS</a:t>
          </a:r>
          <a:endParaRPr lang="fr-FR" sz="13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</xdr:row>
      <xdr:rowOff>142875</xdr:rowOff>
    </xdr:from>
    <xdr:to>
      <xdr:col>4</xdr:col>
      <xdr:colOff>142875</xdr:colOff>
      <xdr:row>3</xdr:row>
      <xdr:rowOff>152400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2600-000002000000}"/>
            </a:ext>
          </a:extLst>
        </xdr:cNvPr>
        <xdr:cNvSpPr/>
      </xdr:nvSpPr>
      <xdr:spPr>
        <a:xfrm>
          <a:off x="142875" y="333375"/>
          <a:ext cx="5324475" cy="390525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24: ACHATS</a:t>
          </a:r>
          <a:endParaRPr lang="fr-FR" sz="13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</xdr:row>
      <xdr:rowOff>171450</xdr:rowOff>
    </xdr:from>
    <xdr:to>
      <xdr:col>4</xdr:col>
      <xdr:colOff>285750</xdr:colOff>
      <xdr:row>3</xdr:row>
      <xdr:rowOff>180975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2700-000002000000}"/>
            </a:ext>
          </a:extLst>
        </xdr:cNvPr>
        <xdr:cNvSpPr/>
      </xdr:nvSpPr>
      <xdr:spPr>
        <a:xfrm>
          <a:off x="152400" y="361950"/>
          <a:ext cx="5829300" cy="390525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25: TRANSPORTS</a:t>
          </a:r>
          <a:endParaRPr lang="fr-FR" sz="13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114300</xdr:rowOff>
    </xdr:from>
    <xdr:to>
      <xdr:col>4</xdr:col>
      <xdr:colOff>352425</xdr:colOff>
      <xdr:row>3</xdr:row>
      <xdr:rowOff>123825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2800-000002000000}"/>
            </a:ext>
          </a:extLst>
        </xdr:cNvPr>
        <xdr:cNvSpPr/>
      </xdr:nvSpPr>
      <xdr:spPr>
        <a:xfrm>
          <a:off x="95250" y="304800"/>
          <a:ext cx="5514975" cy="390525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26: SERVICES EXTERIEURS</a:t>
          </a:r>
          <a:endParaRPr lang="fr-FR" sz="13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</xdr:row>
      <xdr:rowOff>171450</xdr:rowOff>
    </xdr:from>
    <xdr:to>
      <xdr:col>4</xdr:col>
      <xdr:colOff>657225</xdr:colOff>
      <xdr:row>3</xdr:row>
      <xdr:rowOff>180975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2900-000002000000}"/>
            </a:ext>
          </a:extLst>
        </xdr:cNvPr>
        <xdr:cNvSpPr/>
      </xdr:nvSpPr>
      <xdr:spPr>
        <a:xfrm>
          <a:off x="152400" y="361950"/>
          <a:ext cx="5648325" cy="390525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27: IMPOTS ET TAXES</a:t>
          </a:r>
          <a:endParaRPr lang="fr-FR" sz="13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142875</xdr:rowOff>
    </xdr:from>
    <xdr:to>
      <xdr:col>4</xdr:col>
      <xdr:colOff>276226</xdr:colOff>
      <xdr:row>3</xdr:row>
      <xdr:rowOff>152400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2A00-000002000000}"/>
            </a:ext>
          </a:extLst>
        </xdr:cNvPr>
        <xdr:cNvSpPr/>
      </xdr:nvSpPr>
      <xdr:spPr>
        <a:xfrm>
          <a:off x="114300" y="333375"/>
          <a:ext cx="5133976" cy="390525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28: AUTRES CHARGES</a:t>
          </a:r>
          <a:endParaRPr lang="fr-FR" sz="13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2</xdr:row>
      <xdr:rowOff>19050</xdr:rowOff>
    </xdr:from>
    <xdr:to>
      <xdr:col>4</xdr:col>
      <xdr:colOff>628650</xdr:colOff>
      <xdr:row>4</xdr:row>
      <xdr:rowOff>28575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2B00-000002000000}"/>
            </a:ext>
          </a:extLst>
        </xdr:cNvPr>
        <xdr:cNvSpPr/>
      </xdr:nvSpPr>
      <xdr:spPr>
        <a:xfrm>
          <a:off x="257175" y="400050"/>
          <a:ext cx="5657850" cy="390525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29A: CHARGES DE PERSONNEL</a:t>
          </a:r>
          <a:endParaRPr lang="fr-FR" sz="13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19050</xdr:rowOff>
    </xdr:from>
    <xdr:to>
      <xdr:col>2</xdr:col>
      <xdr:colOff>28575</xdr:colOff>
      <xdr:row>10</xdr:row>
      <xdr:rowOff>0</xdr:rowOff>
    </xdr:to>
    <xdr:cxnSp macro="">
      <xdr:nvCxnSpPr>
        <xdr:cNvPr id="3" name="Connecteur droit 2">
          <a:extLst>
            <a:ext uri="{FF2B5EF4-FFF2-40B4-BE49-F238E27FC236}">
              <a16:creationId xmlns="" xmlns:a16="http://schemas.microsoft.com/office/drawing/2014/main" id="{00000000-0008-0000-2C00-000003000000}"/>
            </a:ext>
          </a:extLst>
        </xdr:cNvPr>
        <xdr:cNvCxnSpPr/>
      </xdr:nvCxnSpPr>
      <xdr:spPr>
        <a:xfrm>
          <a:off x="295275" y="1162050"/>
          <a:ext cx="2847975" cy="12763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2190750</xdr:colOff>
      <xdr:row>2</xdr:row>
      <xdr:rowOff>171450</xdr:rowOff>
    </xdr:from>
    <xdr:to>
      <xdr:col>15</xdr:col>
      <xdr:colOff>285750</xdr:colOff>
      <xdr:row>4</xdr:row>
      <xdr:rowOff>180975</xdr:rowOff>
    </xdr:to>
    <xdr:sp macro="" textlink="">
      <xdr:nvSpPr>
        <xdr:cNvPr id="4" name="Rectangle à coins arrondis 3">
          <a:extLst>
            <a:ext uri="{FF2B5EF4-FFF2-40B4-BE49-F238E27FC236}">
              <a16:creationId xmlns="" xmlns:a16="http://schemas.microsoft.com/office/drawing/2014/main" id="{00000000-0008-0000-2C00-000004000000}"/>
            </a:ext>
          </a:extLst>
        </xdr:cNvPr>
        <xdr:cNvSpPr/>
      </xdr:nvSpPr>
      <xdr:spPr>
        <a:xfrm>
          <a:off x="2486025" y="552450"/>
          <a:ext cx="6734175" cy="390525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29B: EFFECTIFS, MASSE SALARIALE ET PERSONNEL EXTERIEUR</a:t>
          </a:r>
          <a:endParaRPr lang="fr-FR" sz="13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2114550</xdr:colOff>
      <xdr:row>2</xdr:row>
      <xdr:rowOff>38100</xdr:rowOff>
    </xdr:from>
    <xdr:to>
      <xdr:col>7</xdr:col>
      <xdr:colOff>552450</xdr:colOff>
      <xdr:row>4</xdr:row>
      <xdr:rowOff>47625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2D00-000002000000}"/>
            </a:ext>
          </a:extLst>
        </xdr:cNvPr>
        <xdr:cNvSpPr/>
      </xdr:nvSpPr>
      <xdr:spPr>
        <a:xfrm>
          <a:off x="2114550" y="419100"/>
          <a:ext cx="6696075" cy="390525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30: DOTATIONS ET CHARGES POUR PROVISIONS</a:t>
          </a:r>
          <a:r>
            <a:rPr lang="fr-FR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ET DEPRECIATIONS</a:t>
          </a:r>
        </a:p>
      </xdr:txBody>
    </xdr:sp>
    <xdr:clientData/>
  </xdr:twoCellAnchor>
  <xdr:twoCellAnchor>
    <xdr:from>
      <xdr:col>0</xdr:col>
      <xdr:colOff>0</xdr:colOff>
      <xdr:row>5</xdr:row>
      <xdr:rowOff>9525</xdr:rowOff>
    </xdr:from>
    <xdr:to>
      <xdr:col>1</xdr:col>
      <xdr:colOff>28575</xdr:colOff>
      <xdr:row>7</xdr:row>
      <xdr:rowOff>514350</xdr:rowOff>
    </xdr:to>
    <xdr:cxnSp macro="">
      <xdr:nvCxnSpPr>
        <xdr:cNvPr id="4" name="Connecteur droit 3">
          <a:extLst>
            <a:ext uri="{FF2B5EF4-FFF2-40B4-BE49-F238E27FC236}">
              <a16:creationId xmlns="" xmlns:a16="http://schemas.microsoft.com/office/drawing/2014/main" id="{00000000-0008-0000-2D00-000004000000}"/>
            </a:ext>
          </a:extLst>
        </xdr:cNvPr>
        <xdr:cNvCxnSpPr/>
      </xdr:nvCxnSpPr>
      <xdr:spPr>
        <a:xfrm>
          <a:off x="0" y="962025"/>
          <a:ext cx="3552825" cy="8858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2</xdr:row>
      <xdr:rowOff>0</xdr:rowOff>
    </xdr:from>
    <xdr:to>
      <xdr:col>4</xdr:col>
      <xdr:colOff>133350</xdr:colOff>
      <xdr:row>4</xdr:row>
      <xdr:rowOff>9525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2E00-000002000000}"/>
            </a:ext>
          </a:extLst>
        </xdr:cNvPr>
        <xdr:cNvSpPr/>
      </xdr:nvSpPr>
      <xdr:spPr>
        <a:xfrm>
          <a:off x="361950" y="381000"/>
          <a:ext cx="4991100" cy="390525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31: CHARGES ET REVENUS</a:t>
          </a:r>
          <a:r>
            <a:rPr lang="fr-FR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FINANCIERS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2</xdr:row>
      <xdr:rowOff>0</xdr:rowOff>
    </xdr:from>
    <xdr:to>
      <xdr:col>4</xdr:col>
      <xdr:colOff>180976</xdr:colOff>
      <xdr:row>4</xdr:row>
      <xdr:rowOff>9525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2F00-000002000000}"/>
            </a:ext>
          </a:extLst>
        </xdr:cNvPr>
        <xdr:cNvSpPr/>
      </xdr:nvSpPr>
      <xdr:spPr>
        <a:xfrm>
          <a:off x="314325" y="381000"/>
          <a:ext cx="5153026" cy="390525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32: AUTRES CHARGES</a:t>
          </a:r>
          <a:r>
            <a:rPr lang="fr-FR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ET PRODUITS HAO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</xdr:row>
      <xdr:rowOff>19050</xdr:rowOff>
    </xdr:from>
    <xdr:to>
      <xdr:col>5</xdr:col>
      <xdr:colOff>38100</xdr:colOff>
      <xdr:row>4</xdr:row>
      <xdr:rowOff>28575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3000-000002000000}"/>
            </a:ext>
          </a:extLst>
        </xdr:cNvPr>
        <xdr:cNvSpPr/>
      </xdr:nvSpPr>
      <xdr:spPr>
        <a:xfrm>
          <a:off x="104775" y="400050"/>
          <a:ext cx="6667500" cy="390525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33: FICHE</a:t>
          </a:r>
          <a:r>
            <a:rPr lang="fr-FR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DE SYNTHESE DES PRINCIPAUX INDICATEURS FINANCIERS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190499</xdr:rowOff>
    </xdr:from>
    <xdr:to>
      <xdr:col>1</xdr:col>
      <xdr:colOff>9525</xdr:colOff>
      <xdr:row>4</xdr:row>
      <xdr:rowOff>66674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3100-000002000000}"/>
            </a:ext>
          </a:extLst>
        </xdr:cNvPr>
        <xdr:cNvSpPr/>
      </xdr:nvSpPr>
      <xdr:spPr>
        <a:xfrm>
          <a:off x="161925" y="190499"/>
          <a:ext cx="6343650" cy="638175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34: LISTE DES INFORMATIONS SOCIALES,</a:t>
          </a:r>
          <a:r>
            <a:rPr lang="fr-FR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ENVIRONNEMENTALES ET SOCIETALES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3</xdr:row>
      <xdr:rowOff>104776</xdr:rowOff>
    </xdr:from>
    <xdr:to>
      <xdr:col>5</xdr:col>
      <xdr:colOff>180975</xdr:colOff>
      <xdr:row>5</xdr:row>
      <xdr:rowOff>161926</xdr:rowOff>
    </xdr:to>
    <xdr:sp macro="" textlink="">
      <xdr:nvSpPr>
        <xdr:cNvPr id="3" name="Rectangle à coins arrondis 2">
          <a:extLst>
            <a:ext uri="{FF2B5EF4-FFF2-40B4-BE49-F238E27FC236}">
              <a16:creationId xmlns="" xmlns:a16="http://schemas.microsoft.com/office/drawing/2014/main" id="{00000000-0008-0000-3200-000003000000}"/>
            </a:ext>
          </a:extLst>
        </xdr:cNvPr>
        <xdr:cNvSpPr/>
      </xdr:nvSpPr>
      <xdr:spPr>
        <a:xfrm>
          <a:off x="1047750" y="676276"/>
          <a:ext cx="5391150" cy="4381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NOTE 35: TABLEAU</a:t>
          </a:r>
          <a:r>
            <a:rPr lang="fr-FR" sz="13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D'EXECUTION BUDGETAIRE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180976</xdr:colOff>
      <xdr:row>2</xdr:row>
      <xdr:rowOff>9525</xdr:rowOff>
    </xdr:from>
    <xdr:to>
      <xdr:col>5</xdr:col>
      <xdr:colOff>1762126</xdr:colOff>
      <xdr:row>4</xdr:row>
      <xdr:rowOff>9525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3300-000002000000}"/>
            </a:ext>
          </a:extLst>
        </xdr:cNvPr>
        <xdr:cNvSpPr/>
      </xdr:nvSpPr>
      <xdr:spPr>
        <a:xfrm>
          <a:off x="2552701" y="295275"/>
          <a:ext cx="5238750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TABLEAU DE CORRESPONDANCE-BILAN</a:t>
          </a:r>
          <a:endParaRPr lang="fr-FR" sz="13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3</xdr:row>
      <xdr:rowOff>114300</xdr:rowOff>
    </xdr:from>
    <xdr:to>
      <xdr:col>3</xdr:col>
      <xdr:colOff>1524000</xdr:colOff>
      <xdr:row>5</xdr:row>
      <xdr:rowOff>57150</xdr:rowOff>
    </xdr:to>
    <xdr:sp macro="" textlink="">
      <xdr:nvSpPr>
        <xdr:cNvPr id="2" name="Rectangle à coins arrondis 1">
          <a:extLst>
            <a:ext uri="{FF2B5EF4-FFF2-40B4-BE49-F238E27FC236}">
              <a16:creationId xmlns="" xmlns:a16="http://schemas.microsoft.com/office/drawing/2014/main" id="{00000000-0008-0000-3400-000002000000}"/>
            </a:ext>
          </a:extLst>
        </xdr:cNvPr>
        <xdr:cNvSpPr/>
      </xdr:nvSpPr>
      <xdr:spPr>
        <a:xfrm>
          <a:off x="295275" y="685800"/>
          <a:ext cx="5695950" cy="323850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300" b="1">
              <a:latin typeface="Times New Roman" panose="02020603050405020304" pitchFamily="18" charset="0"/>
              <a:cs typeface="Times New Roman" panose="02020603050405020304" pitchFamily="18" charset="0"/>
            </a:rPr>
            <a:t>TABLEAU DE CORRESPONDANCE-COMPTE DE RESULTAT</a:t>
          </a:r>
          <a:endParaRPr lang="fr-FR" sz="13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opLeftCell="A37" workbookViewId="0">
      <selection activeCell="B34" sqref="B34:J34"/>
    </sheetView>
  </sheetViews>
  <sheetFormatPr baseColWidth="10" defaultColWidth="11.44140625" defaultRowHeight="13.8" x14ac:dyDescent="0.25"/>
  <cols>
    <col min="1" max="4" width="11.44140625" style="368"/>
    <col min="5" max="5" width="11.44140625" style="368" customWidth="1"/>
    <col min="6" max="16384" width="11.44140625" style="368"/>
  </cols>
  <sheetData>
    <row r="1" spans="1:10" x14ac:dyDescent="0.25">
      <c r="A1" s="444"/>
      <c r="B1" s="444"/>
      <c r="C1" s="444"/>
      <c r="D1" s="444"/>
      <c r="E1" s="444"/>
      <c r="F1" s="444"/>
      <c r="G1" s="444"/>
      <c r="H1" s="444"/>
      <c r="I1" s="444"/>
      <c r="J1" s="409"/>
    </row>
    <row r="4" spans="1:10" ht="15" thickBot="1" x14ac:dyDescent="0.35">
      <c r="A4"/>
      <c r="B4"/>
      <c r="C4"/>
      <c r="D4"/>
      <c r="E4"/>
      <c r="F4"/>
      <c r="G4"/>
      <c r="H4"/>
      <c r="I4"/>
      <c r="J4"/>
    </row>
    <row r="5" spans="1:10" x14ac:dyDescent="0.25">
      <c r="A5" s="408"/>
      <c r="B5" s="407"/>
      <c r="C5" s="407"/>
      <c r="D5" s="407"/>
      <c r="E5" s="407"/>
      <c r="F5" s="407"/>
      <c r="G5" s="407"/>
      <c r="H5" s="407"/>
      <c r="I5" s="407"/>
      <c r="J5" s="406"/>
    </row>
    <row r="6" spans="1:10" ht="15.6" x14ac:dyDescent="0.3">
      <c r="A6" s="400"/>
      <c r="B6" s="405"/>
      <c r="C6" s="405"/>
      <c r="D6" s="452" t="s">
        <v>1209</v>
      </c>
      <c r="E6" s="452"/>
      <c r="F6" s="452"/>
      <c r="G6" s="452"/>
      <c r="H6" s="452"/>
      <c r="I6"/>
      <c r="J6" s="391"/>
    </row>
    <row r="7" spans="1:10" x14ac:dyDescent="0.25">
      <c r="A7" s="400"/>
      <c r="B7" s="453" t="s">
        <v>1214</v>
      </c>
      <c r="C7" s="453"/>
      <c r="D7" s="453"/>
      <c r="E7" s="453"/>
      <c r="F7" s="453"/>
      <c r="G7" s="453"/>
      <c r="H7" s="453"/>
      <c r="I7" s="453"/>
      <c r="J7" s="391"/>
    </row>
    <row r="8" spans="1:10" ht="14.4" x14ac:dyDescent="0.3">
      <c r="A8" s="400"/>
      <c r="B8" s="404"/>
      <c r="C8" s="404"/>
      <c r="D8" s="404"/>
      <c r="E8" s="404"/>
      <c r="F8" s="404"/>
      <c r="G8"/>
      <c r="H8"/>
      <c r="I8"/>
      <c r="J8" s="391"/>
    </row>
    <row r="9" spans="1:10" ht="14.4" x14ac:dyDescent="0.3">
      <c r="A9" s="381"/>
      <c r="B9" s="435"/>
      <c r="C9" s="435"/>
      <c r="D9" s="454" t="s">
        <v>1185</v>
      </c>
      <c r="E9" s="454"/>
      <c r="F9" s="454"/>
      <c r="G9" s="454"/>
      <c r="H9" s="454"/>
      <c r="I9"/>
      <c r="J9" s="391"/>
    </row>
    <row r="10" spans="1:10" ht="14.4" x14ac:dyDescent="0.3">
      <c r="A10" s="381"/>
      <c r="B10"/>
      <c r="C10"/>
      <c r="D10"/>
      <c r="E10"/>
      <c r="F10"/>
      <c r="G10"/>
      <c r="H10"/>
      <c r="I10"/>
      <c r="J10" s="391"/>
    </row>
    <row r="11" spans="1:10" ht="14.4" x14ac:dyDescent="0.3">
      <c r="A11" s="381"/>
      <c r="B11"/>
      <c r="C11"/>
      <c r="D11" s="368" t="s">
        <v>1241</v>
      </c>
      <c r="I11"/>
      <c r="J11" s="390"/>
    </row>
    <row r="12" spans="1:10" x14ac:dyDescent="0.25">
      <c r="A12" s="400" t="s">
        <v>1186</v>
      </c>
      <c r="B12" s="432" t="s">
        <v>1187</v>
      </c>
      <c r="C12" s="432"/>
      <c r="D12" s="432"/>
      <c r="E12" s="432"/>
      <c r="F12" s="432"/>
      <c r="G12" s="432"/>
      <c r="H12" s="432"/>
      <c r="I12" s="432"/>
      <c r="J12" s="433"/>
    </row>
    <row r="13" spans="1:10" ht="14.4" x14ac:dyDescent="0.3">
      <c r="A13" s="381"/>
      <c r="B13"/>
      <c r="C13"/>
      <c r="D13" s="451"/>
      <c r="E13" s="451"/>
      <c r="F13" s="451"/>
      <c r="G13" s="451"/>
      <c r="H13" s="451"/>
      <c r="I13"/>
      <c r="J13" s="390"/>
    </row>
    <row r="14" spans="1:10" ht="14.4" x14ac:dyDescent="0.3">
      <c r="A14" s="381"/>
      <c r="B14"/>
      <c r="C14"/>
      <c r="D14" s="434"/>
      <c r="E14" s="434"/>
      <c r="F14" s="434"/>
      <c r="G14" s="434"/>
      <c r="H14" s="434"/>
      <c r="I14"/>
      <c r="J14" s="391"/>
    </row>
    <row r="15" spans="1:10" ht="14.4" x14ac:dyDescent="0.3">
      <c r="A15" s="381"/>
      <c r="B15"/>
      <c r="C15"/>
      <c r="D15"/>
      <c r="E15"/>
      <c r="F15"/>
      <c r="G15"/>
      <c r="H15"/>
      <c r="I15"/>
      <c r="J15" s="390"/>
    </row>
    <row r="16" spans="1:10" ht="14.4" x14ac:dyDescent="0.3">
      <c r="A16" s="381"/>
      <c r="B16"/>
      <c r="C16" s="448" t="s">
        <v>1211</v>
      </c>
      <c r="D16" s="448"/>
      <c r="E16" s="448"/>
      <c r="F16" s="448"/>
      <c r="G16" s="448"/>
      <c r="H16" s="448"/>
      <c r="I16" s="448"/>
      <c r="J16" s="391"/>
    </row>
    <row r="17" spans="1:10" ht="14.4" x14ac:dyDescent="0.3">
      <c r="A17" s="381"/>
      <c r="B17"/>
      <c r="C17" s="449" t="s">
        <v>1213</v>
      </c>
      <c r="D17" s="449"/>
      <c r="E17" s="449"/>
      <c r="F17" s="449"/>
      <c r="G17" s="449"/>
      <c r="H17" s="449"/>
      <c r="I17" s="449"/>
      <c r="J17" s="391"/>
    </row>
    <row r="18" spans="1:10" ht="25.2" x14ac:dyDescent="0.6">
      <c r="A18" s="381"/>
      <c r="B18"/>
      <c r="C18"/>
      <c r="D18" s="455"/>
      <c r="E18" s="455"/>
      <c r="F18" s="455"/>
      <c r="G18" s="455"/>
      <c r="H18" s="455"/>
      <c r="I18"/>
      <c r="J18" s="391"/>
    </row>
    <row r="19" spans="1:10" ht="14.4" x14ac:dyDescent="0.3">
      <c r="A19" s="381"/>
      <c r="B19"/>
      <c r="C19" s="373"/>
      <c r="D19" s="373"/>
      <c r="E19" s="373"/>
      <c r="F19"/>
      <c r="G19"/>
      <c r="H19" s="373"/>
      <c r="I19" s="373"/>
      <c r="J19" s="390"/>
    </row>
    <row r="20" spans="1:10" ht="14.4" x14ac:dyDescent="0.3">
      <c r="A20" s="381"/>
      <c r="B20"/>
      <c r="C20" s="397"/>
      <c r="D20" s="415" t="s">
        <v>1188</v>
      </c>
      <c r="E20" s="403"/>
      <c r="F20" s="403"/>
      <c r="G20" s="430" t="str">
        <f>_ExerClos</f>
        <v>Exercice clos le 31/12/2025</v>
      </c>
      <c r="H20" s="431"/>
      <c r="I20"/>
      <c r="J20" s="391"/>
    </row>
    <row r="21" spans="1:10" x14ac:dyDescent="0.25">
      <c r="A21" s="381"/>
      <c r="B21" s="373"/>
      <c r="C21" s="373"/>
      <c r="D21" s="373"/>
      <c r="E21" s="402"/>
      <c r="F21" s="402"/>
      <c r="G21" s="402"/>
      <c r="H21" s="373"/>
      <c r="I21" s="373"/>
      <c r="J21" s="390"/>
    </row>
    <row r="22" spans="1:10" ht="14.4" x14ac:dyDescent="0.3">
      <c r="A22" s="381"/>
      <c r="B22"/>
      <c r="C22"/>
      <c r="D22"/>
      <c r="E22"/>
      <c r="F22"/>
      <c r="G22"/>
      <c r="H22"/>
      <c r="I22"/>
      <c r="J22" s="391"/>
    </row>
    <row r="23" spans="1:10" ht="14.4" x14ac:dyDescent="0.3">
      <c r="A23" s="381"/>
      <c r="B23"/>
      <c r="C23"/>
      <c r="D23" s="450" t="s">
        <v>1189</v>
      </c>
      <c r="E23" s="450"/>
      <c r="F23" s="450"/>
      <c r="G23" s="450"/>
      <c r="H23" s="450"/>
      <c r="I23"/>
      <c r="J23" s="391"/>
    </row>
    <row r="24" spans="1:10" ht="14.4" x14ac:dyDescent="0.3">
      <c r="A24" s="381"/>
      <c r="B24"/>
      <c r="C24" s="373"/>
      <c r="D24" s="373"/>
      <c r="E24" s="373"/>
      <c r="F24"/>
      <c r="G24"/>
      <c r="H24"/>
      <c r="I24" s="401"/>
      <c r="J24" s="390"/>
    </row>
    <row r="25" spans="1:10" x14ac:dyDescent="0.25">
      <c r="A25" s="400" t="s">
        <v>1190</v>
      </c>
      <c r="B25" s="410" t="s">
        <v>1191</v>
      </c>
      <c r="C25" s="410"/>
      <c r="D25" s="410"/>
      <c r="E25" s="456" t="str">
        <f>_soNom</f>
        <v>B E N I N  T A L E N T  P O O L</v>
      </c>
      <c r="F25" s="456"/>
      <c r="G25" s="456"/>
      <c r="H25" s="456"/>
      <c r="I25" s="456"/>
      <c r="J25" s="457"/>
    </row>
    <row r="26" spans="1:10" x14ac:dyDescent="0.25">
      <c r="A26" s="445" t="s">
        <v>1192</v>
      </c>
      <c r="B26" s="446"/>
      <c r="C26" s="446"/>
      <c r="D26" s="446"/>
      <c r="E26" s="446"/>
      <c r="F26" s="446"/>
      <c r="G26" s="446"/>
      <c r="H26" s="446"/>
      <c r="I26" s="446"/>
      <c r="J26" s="447"/>
    </row>
    <row r="27" spans="1:10" x14ac:dyDescent="0.25">
      <c r="A27" s="381"/>
      <c r="B27" s="399"/>
      <c r="C27" s="373"/>
      <c r="D27" s="373"/>
      <c r="E27" s="373"/>
      <c r="F27" s="373"/>
      <c r="G27" s="373"/>
      <c r="H27" s="373"/>
      <c r="I27" s="373"/>
      <c r="J27" s="390"/>
    </row>
    <row r="28" spans="1:10" x14ac:dyDescent="0.25">
      <c r="A28" s="398" t="s">
        <v>1193</v>
      </c>
      <c r="B28" s="458"/>
      <c r="C28" s="458"/>
      <c r="D28" s="458"/>
      <c r="E28" s="458"/>
      <c r="F28" s="458"/>
      <c r="G28" s="458"/>
      <c r="H28" s="458"/>
      <c r="I28" s="458"/>
      <c r="J28" s="459"/>
    </row>
    <row r="29" spans="1:10" x14ac:dyDescent="0.25">
      <c r="A29" s="398"/>
      <c r="B29" s="397"/>
      <c r="C29" s="397"/>
      <c r="D29" s="397"/>
      <c r="E29" s="397"/>
      <c r="F29" s="397"/>
      <c r="G29" s="397"/>
      <c r="H29" s="397"/>
      <c r="I29" s="397"/>
      <c r="J29" s="396"/>
    </row>
    <row r="30" spans="1:10" x14ac:dyDescent="0.25">
      <c r="A30" s="395" t="s">
        <v>1187</v>
      </c>
      <c r="B30" s="413" t="s">
        <v>1194</v>
      </c>
      <c r="C30" s="394"/>
      <c r="D30" s="394" t="s">
        <v>1235</v>
      </c>
      <c r="E30" s="394"/>
      <c r="F30" s="393"/>
      <c r="G30" s="393"/>
      <c r="H30" s="393"/>
      <c r="I30" s="393"/>
      <c r="J30" s="392"/>
    </row>
    <row r="31" spans="1:10" x14ac:dyDescent="0.25">
      <c r="A31" s="381"/>
      <c r="B31" s="373"/>
      <c r="C31" s="373"/>
      <c r="D31" s="373"/>
      <c r="E31" s="373"/>
      <c r="F31" s="373"/>
      <c r="G31" s="373"/>
      <c r="H31" s="373"/>
      <c r="I31" s="373"/>
      <c r="J31" s="390"/>
    </row>
    <row r="32" spans="1:10" x14ac:dyDescent="0.25">
      <c r="A32" s="381"/>
      <c r="B32" s="414" t="s">
        <v>1195</v>
      </c>
      <c r="C32" s="378"/>
      <c r="D32" s="378" t="s">
        <v>1210</v>
      </c>
      <c r="E32" s="410" t="s">
        <v>1236</v>
      </c>
      <c r="F32" s="410"/>
      <c r="G32" s="410"/>
      <c r="H32" s="410"/>
      <c r="I32" s="410"/>
      <c r="J32" s="411"/>
    </row>
    <row r="33" spans="1:10" ht="14.4" x14ac:dyDescent="0.3">
      <c r="A33" s="381"/>
      <c r="B33"/>
      <c r="C33"/>
      <c r="D33" s="373"/>
      <c r="E33" s="460"/>
      <c r="F33" s="461"/>
      <c r="G33" s="461"/>
      <c r="H33" s="461"/>
      <c r="I33" s="461"/>
      <c r="J33" s="462"/>
    </row>
    <row r="34" spans="1:10" ht="17.399999999999999" x14ac:dyDescent="0.3">
      <c r="A34" s="381"/>
      <c r="B34" s="482" t="s">
        <v>1242</v>
      </c>
      <c r="C34" s="482"/>
      <c r="D34" s="482"/>
      <c r="E34" s="482"/>
      <c r="F34" s="482"/>
      <c r="G34" s="482"/>
      <c r="H34" s="482"/>
      <c r="I34" s="482"/>
      <c r="J34" s="483"/>
    </row>
    <row r="35" spans="1:10" x14ac:dyDescent="0.25">
      <c r="A35" s="381"/>
      <c r="B35" s="373"/>
      <c r="C35" s="373"/>
      <c r="D35" s="373"/>
      <c r="E35" s="373"/>
      <c r="F35" s="373"/>
      <c r="G35" s="373"/>
      <c r="H35" s="373"/>
      <c r="I35" s="373"/>
      <c r="J35" s="390"/>
    </row>
    <row r="36" spans="1:10" ht="14.4" x14ac:dyDescent="0.3">
      <c r="A36" s="381"/>
      <c r="B36"/>
      <c r="C36"/>
      <c r="D36"/>
      <c r="E36"/>
      <c r="F36"/>
      <c r="G36"/>
      <c r="H36"/>
      <c r="I36"/>
      <c r="J36" s="391"/>
    </row>
    <row r="37" spans="1:10" ht="14.4" x14ac:dyDescent="0.3">
      <c r="A37" s="381"/>
      <c r="B37"/>
      <c r="C37" s="436" t="s">
        <v>1212</v>
      </c>
      <c r="D37" s="436"/>
      <c r="E37" s="436"/>
      <c r="F37" s="436"/>
      <c r="G37" s="436"/>
      <c r="H37" s="436"/>
      <c r="I37" s="436"/>
      <c r="J37" s="437"/>
    </row>
    <row r="38" spans="1:10" x14ac:dyDescent="0.25">
      <c r="A38" s="381"/>
      <c r="B38" s="373"/>
      <c r="C38" s="373"/>
      <c r="D38" s="373"/>
      <c r="E38" s="373"/>
      <c r="F38" s="373"/>
      <c r="G38" s="373"/>
      <c r="H38" s="373"/>
      <c r="I38" s="373"/>
      <c r="J38" s="390"/>
    </row>
    <row r="39" spans="1:10" x14ac:dyDescent="0.25">
      <c r="A39" s="381"/>
      <c r="B39" s="373"/>
      <c r="C39" s="373"/>
      <c r="D39" s="373"/>
      <c r="E39" s="373"/>
      <c r="F39" s="373"/>
      <c r="G39" s="373"/>
      <c r="H39" s="373"/>
      <c r="I39" s="373"/>
      <c r="J39" s="390"/>
    </row>
    <row r="40" spans="1:10" x14ac:dyDescent="0.25">
      <c r="A40" s="381"/>
      <c r="B40" s="450" t="s">
        <v>1196</v>
      </c>
      <c r="C40" s="450"/>
      <c r="D40" s="450"/>
      <c r="E40" s="450"/>
      <c r="F40" s="373"/>
      <c r="G40" s="450" t="s">
        <v>1197</v>
      </c>
      <c r="H40" s="450"/>
      <c r="I40" s="450"/>
      <c r="J40" s="476"/>
    </row>
    <row r="41" spans="1:10" x14ac:dyDescent="0.25">
      <c r="A41" s="381"/>
      <c r="B41" s="418"/>
      <c r="C41" s="419"/>
      <c r="D41" s="419"/>
      <c r="E41" s="416"/>
      <c r="F41" s="373"/>
      <c r="G41" s="463" t="s">
        <v>1198</v>
      </c>
      <c r="H41" s="464"/>
      <c r="I41" s="464"/>
      <c r="J41" s="465"/>
    </row>
    <row r="42" spans="1:10" x14ac:dyDescent="0.25">
      <c r="A42" s="381"/>
      <c r="B42" s="477" t="s">
        <v>1199</v>
      </c>
      <c r="C42" s="478"/>
      <c r="D42" s="478"/>
      <c r="E42" s="417" t="s">
        <v>1200</v>
      </c>
      <c r="F42" s="373"/>
      <c r="G42" s="466"/>
      <c r="H42" s="467"/>
      <c r="I42" s="467"/>
      <c r="J42" s="468"/>
    </row>
    <row r="43" spans="1:10" x14ac:dyDescent="0.25">
      <c r="A43" s="381"/>
      <c r="B43" s="420" t="s">
        <v>1201</v>
      </c>
      <c r="C43" s="421"/>
      <c r="D43" s="422" t="s">
        <v>405</v>
      </c>
      <c r="E43" s="417" t="s">
        <v>1200</v>
      </c>
      <c r="F43" s="373"/>
      <c r="G43" s="463"/>
      <c r="H43" s="464"/>
      <c r="I43" s="464"/>
      <c r="J43" s="465"/>
    </row>
    <row r="44" spans="1:10" x14ac:dyDescent="0.25">
      <c r="A44" s="381"/>
      <c r="B44" s="420" t="s">
        <v>1202</v>
      </c>
      <c r="C44" s="421"/>
      <c r="D44" s="422" t="s">
        <v>405</v>
      </c>
      <c r="E44" s="417" t="s">
        <v>1200</v>
      </c>
      <c r="F44" s="373"/>
      <c r="G44" s="466"/>
      <c r="H44" s="467"/>
      <c r="I44" s="467"/>
      <c r="J44" s="468"/>
    </row>
    <row r="45" spans="1:10" x14ac:dyDescent="0.25">
      <c r="A45" s="381"/>
      <c r="B45" s="477" t="s">
        <v>1203</v>
      </c>
      <c r="C45" s="478"/>
      <c r="D45" s="478"/>
      <c r="E45" s="417" t="s">
        <v>1200</v>
      </c>
      <c r="F45" s="373"/>
      <c r="G45" s="479" t="s">
        <v>1204</v>
      </c>
      <c r="H45" s="480"/>
      <c r="I45" s="480"/>
      <c r="J45" s="481"/>
    </row>
    <row r="46" spans="1:10" x14ac:dyDescent="0.25">
      <c r="A46" s="381"/>
      <c r="B46" s="423" t="s">
        <v>1205</v>
      </c>
      <c r="C46" s="424"/>
      <c r="D46" s="424"/>
      <c r="E46" s="417" t="s">
        <v>1200</v>
      </c>
      <c r="F46" s="373"/>
      <c r="G46" s="389"/>
      <c r="H46" s="388"/>
      <c r="I46" s="388"/>
      <c r="J46" s="387"/>
    </row>
    <row r="47" spans="1:10" x14ac:dyDescent="0.25">
      <c r="A47" s="381"/>
      <c r="B47" s="425"/>
      <c r="C47" s="426"/>
      <c r="D47" s="427" t="s">
        <v>405</v>
      </c>
      <c r="E47" s="428"/>
      <c r="F47" s="373"/>
      <c r="G47" s="379"/>
      <c r="H47" s="386" t="s">
        <v>405</v>
      </c>
      <c r="I47" s="378"/>
      <c r="J47" s="377"/>
    </row>
    <row r="48" spans="1:10" ht="14.4" x14ac:dyDescent="0.3">
      <c r="A48" s="381"/>
      <c r="B48" s="471" t="s">
        <v>1206</v>
      </c>
      <c r="C48" s="472"/>
      <c r="D48" s="472"/>
      <c r="E48" s="429"/>
      <c r="F48"/>
      <c r="G48" s="473" t="s">
        <v>1207</v>
      </c>
      <c r="H48" s="474"/>
      <c r="I48" s="474"/>
      <c r="J48" s="475"/>
    </row>
    <row r="49" spans="1:10" ht="14.4" x14ac:dyDescent="0.3">
      <c r="A49" s="381"/>
      <c r="B49" s="469" t="s">
        <v>1208</v>
      </c>
      <c r="C49" s="470"/>
      <c r="D49" s="470"/>
      <c r="E49" s="412"/>
      <c r="F49"/>
      <c r="G49" s="385"/>
      <c r="H49" s="384" t="s">
        <v>405</v>
      </c>
      <c r="I49" s="383"/>
      <c r="J49" s="382"/>
    </row>
    <row r="50" spans="1:10" x14ac:dyDescent="0.25">
      <c r="A50" s="381"/>
      <c r="B50" s="379"/>
      <c r="C50" s="378"/>
      <c r="D50" s="378"/>
      <c r="E50" s="380"/>
      <c r="F50" s="373"/>
      <c r="G50" s="379"/>
      <c r="H50" s="378"/>
      <c r="I50" s="378"/>
      <c r="J50" s="377"/>
    </row>
    <row r="51" spans="1:10" ht="14.4" thickBot="1" x14ac:dyDescent="0.3">
      <c r="A51" s="376"/>
      <c r="B51" s="375"/>
      <c r="C51" s="375"/>
      <c r="D51" s="375"/>
      <c r="E51" s="375"/>
      <c r="F51" s="375"/>
      <c r="G51" s="375"/>
      <c r="H51" s="375"/>
      <c r="I51" s="375"/>
      <c r="J51" s="374"/>
    </row>
  </sheetData>
  <mergeCells count="24">
    <mergeCell ref="B28:J28"/>
    <mergeCell ref="E33:J33"/>
    <mergeCell ref="G43:J44"/>
    <mergeCell ref="B49:D49"/>
    <mergeCell ref="B48:D48"/>
    <mergeCell ref="G48:J48"/>
    <mergeCell ref="B40:E40"/>
    <mergeCell ref="G40:J40"/>
    <mergeCell ref="G41:J42"/>
    <mergeCell ref="B42:D42"/>
    <mergeCell ref="B45:D45"/>
    <mergeCell ref="G45:J45"/>
    <mergeCell ref="B34:J34"/>
    <mergeCell ref="A1:I1"/>
    <mergeCell ref="A26:J26"/>
    <mergeCell ref="C16:I16"/>
    <mergeCell ref="C17:I17"/>
    <mergeCell ref="D23:H23"/>
    <mergeCell ref="D13:H13"/>
    <mergeCell ref="D6:H6"/>
    <mergeCell ref="B7:I7"/>
    <mergeCell ref="D9:H9"/>
    <mergeCell ref="D18:H18"/>
    <mergeCell ref="E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L37"/>
  <sheetViews>
    <sheetView topLeftCell="A13" workbookViewId="0">
      <selection activeCell="L13" sqref="L13"/>
    </sheetView>
  </sheetViews>
  <sheetFormatPr baseColWidth="10" defaultColWidth="11.44140625" defaultRowHeight="12" x14ac:dyDescent="0.25"/>
  <cols>
    <col min="1" max="1" width="4.77734375" style="201" customWidth="1"/>
    <col min="2" max="2" width="32.77734375" style="202" customWidth="1"/>
    <col min="3" max="3" width="5.77734375" style="201" customWidth="1"/>
    <col min="4" max="7" width="10.77734375" style="201" customWidth="1"/>
    <col min="8" max="8" width="5" style="201" customWidth="1"/>
    <col min="9" max="9" width="52.77734375" style="201" customWidth="1"/>
    <col min="10" max="10" width="6.88671875" style="201" customWidth="1"/>
    <col min="11" max="12" width="10.77734375" style="201" customWidth="1"/>
    <col min="13" max="16384" width="11.44140625" style="201"/>
  </cols>
  <sheetData>
    <row r="2" spans="1:12" x14ac:dyDescent="0.25">
      <c r="E2" s="203"/>
    </row>
    <row r="4" spans="1:12" ht="23.4" x14ac:dyDescent="0.25">
      <c r="A4" s="484" t="s">
        <v>0</v>
      </c>
      <c r="B4" s="485" t="s">
        <v>1</v>
      </c>
      <c r="C4" s="484" t="s">
        <v>2</v>
      </c>
      <c r="D4" s="484" t="s">
        <v>5</v>
      </c>
      <c r="E4" s="484"/>
      <c r="F4" s="484"/>
      <c r="G4" s="215" t="s">
        <v>3</v>
      </c>
      <c r="H4" s="484" t="s">
        <v>0</v>
      </c>
      <c r="I4" s="484" t="s">
        <v>4</v>
      </c>
      <c r="J4" s="484" t="s">
        <v>2</v>
      </c>
      <c r="K4" s="216" t="s">
        <v>5</v>
      </c>
      <c r="L4" s="215" t="s">
        <v>3</v>
      </c>
    </row>
    <row r="5" spans="1:12" ht="22.8" x14ac:dyDescent="0.25">
      <c r="A5" s="484"/>
      <c r="B5" s="485"/>
      <c r="C5" s="484"/>
      <c r="D5" s="217" t="s">
        <v>6</v>
      </c>
      <c r="E5" s="215" t="s">
        <v>7</v>
      </c>
      <c r="F5" s="217" t="s">
        <v>8</v>
      </c>
      <c r="G5" s="217" t="s">
        <v>8</v>
      </c>
      <c r="H5" s="484"/>
      <c r="I5" s="484"/>
      <c r="J5" s="484"/>
      <c r="K5" s="217" t="s">
        <v>8</v>
      </c>
      <c r="L5" s="217" t="s">
        <v>8</v>
      </c>
    </row>
    <row r="6" spans="1:12" ht="45.6" x14ac:dyDescent="0.25">
      <c r="A6" s="213" t="s">
        <v>9</v>
      </c>
      <c r="B6" s="326" t="s">
        <v>10</v>
      </c>
      <c r="C6" s="327">
        <v>5</v>
      </c>
      <c r="D6" s="370">
        <f>SUM(D7:D8)</f>
        <v>0</v>
      </c>
      <c r="E6" s="370">
        <f t="shared" ref="E6:G6" si="0">SUM(E7:E8)</f>
        <v>0</v>
      </c>
      <c r="F6" s="370">
        <f t="shared" si="0"/>
        <v>0</v>
      </c>
      <c r="G6" s="370">
        <f t="shared" si="0"/>
        <v>0</v>
      </c>
      <c r="H6" s="205" t="s">
        <v>12</v>
      </c>
      <c r="I6" s="322" t="s">
        <v>13</v>
      </c>
      <c r="J6" s="205">
        <v>15</v>
      </c>
      <c r="K6" s="206">
        <v>0</v>
      </c>
      <c r="L6" s="206">
        <v>0</v>
      </c>
    </row>
    <row r="7" spans="1:12" x14ac:dyDescent="0.25">
      <c r="A7" s="205" t="s">
        <v>11</v>
      </c>
      <c r="B7" s="208" t="s">
        <v>14</v>
      </c>
      <c r="C7" s="206"/>
      <c r="D7" s="206">
        <v>0</v>
      </c>
      <c r="E7" s="206">
        <v>0</v>
      </c>
      <c r="F7" s="206">
        <f>D7-E7</f>
        <v>0</v>
      </c>
      <c r="G7" s="206">
        <v>0</v>
      </c>
      <c r="H7" s="205" t="s">
        <v>15</v>
      </c>
      <c r="I7" s="206" t="s">
        <v>17</v>
      </c>
      <c r="J7" s="205">
        <v>15</v>
      </c>
      <c r="K7" s="206">
        <v>0</v>
      </c>
      <c r="L7" s="206">
        <v>0</v>
      </c>
    </row>
    <row r="8" spans="1:12" x14ac:dyDescent="0.25">
      <c r="A8" s="205" t="s">
        <v>18</v>
      </c>
      <c r="B8" s="208" t="s">
        <v>19</v>
      </c>
      <c r="C8" s="206"/>
      <c r="D8" s="206">
        <v>0</v>
      </c>
      <c r="E8" s="206">
        <v>0</v>
      </c>
      <c r="F8" s="206">
        <f>D8-E8</f>
        <v>0</v>
      </c>
      <c r="G8" s="206">
        <v>0</v>
      </c>
      <c r="H8" s="207" t="s">
        <v>20</v>
      </c>
      <c r="I8" s="206" t="s">
        <v>16</v>
      </c>
      <c r="J8" s="207">
        <v>15</v>
      </c>
      <c r="K8" s="206">
        <v>0</v>
      </c>
      <c r="L8" s="206">
        <v>0</v>
      </c>
    </row>
    <row r="9" spans="1:12" ht="15" customHeight="1" x14ac:dyDescent="0.25">
      <c r="A9" s="352" t="s">
        <v>21</v>
      </c>
      <c r="B9" s="218" t="s">
        <v>22</v>
      </c>
      <c r="C9" s="209">
        <v>5</v>
      </c>
      <c r="D9" s="210">
        <f>SUM(D10:D12)</f>
        <v>1767600</v>
      </c>
      <c r="E9" s="210">
        <f t="shared" ref="E9:G9" si="1">SUM(E10:E12)</f>
        <v>523459</v>
      </c>
      <c r="F9" s="210">
        <f t="shared" si="1"/>
        <v>1244141</v>
      </c>
      <c r="G9" s="210">
        <f t="shared" si="1"/>
        <v>1597661</v>
      </c>
      <c r="H9" s="219" t="s">
        <v>23</v>
      </c>
      <c r="I9" s="206" t="s">
        <v>24</v>
      </c>
      <c r="J9" s="207">
        <v>15</v>
      </c>
      <c r="K9" s="206">
        <v>0</v>
      </c>
      <c r="L9" s="206">
        <v>0</v>
      </c>
    </row>
    <row r="10" spans="1:12" x14ac:dyDescent="0.25">
      <c r="A10" s="205" t="s">
        <v>25</v>
      </c>
      <c r="B10" s="208" t="s">
        <v>26</v>
      </c>
      <c r="C10" s="206"/>
      <c r="D10" s="206">
        <v>1767600</v>
      </c>
      <c r="E10" s="206">
        <v>523459</v>
      </c>
      <c r="F10" s="206">
        <f>D10-E10</f>
        <v>1244141</v>
      </c>
      <c r="G10" s="206">
        <v>1597661</v>
      </c>
      <c r="H10" s="207" t="s">
        <v>27</v>
      </c>
      <c r="I10" s="206" t="s">
        <v>28</v>
      </c>
      <c r="J10" s="207" t="s">
        <v>29</v>
      </c>
      <c r="K10" s="206">
        <v>0</v>
      </c>
      <c r="L10" s="206">
        <v>0</v>
      </c>
    </row>
    <row r="11" spans="1:12" x14ac:dyDescent="0.25">
      <c r="A11" s="205" t="s">
        <v>30</v>
      </c>
      <c r="B11" s="208" t="s">
        <v>31</v>
      </c>
      <c r="C11" s="206"/>
      <c r="D11" s="206">
        <v>0</v>
      </c>
      <c r="E11" s="206">
        <v>0</v>
      </c>
      <c r="F11" s="206">
        <f t="shared" ref="F11:F12" si="2">D11-E11</f>
        <v>0</v>
      </c>
      <c r="G11" s="206">
        <v>0</v>
      </c>
      <c r="H11" s="207" t="s">
        <v>33</v>
      </c>
      <c r="I11" s="206" t="s">
        <v>34</v>
      </c>
      <c r="J11" s="207">
        <v>16</v>
      </c>
      <c r="K11" s="206">
        <v>0</v>
      </c>
      <c r="L11" s="206">
        <v>0</v>
      </c>
    </row>
    <row r="12" spans="1:12" ht="24" x14ac:dyDescent="0.25">
      <c r="A12" s="205" t="s">
        <v>35</v>
      </c>
      <c r="B12" s="208" t="s">
        <v>36</v>
      </c>
      <c r="C12" s="206"/>
      <c r="D12" s="206">
        <v>0</v>
      </c>
      <c r="E12" s="206">
        <v>0</v>
      </c>
      <c r="F12" s="206">
        <f t="shared" si="2"/>
        <v>0</v>
      </c>
      <c r="G12" s="206">
        <v>0</v>
      </c>
      <c r="H12" s="205" t="s">
        <v>32</v>
      </c>
      <c r="I12" s="206" t="s">
        <v>37</v>
      </c>
      <c r="J12" s="207">
        <v>16</v>
      </c>
      <c r="K12" s="206">
        <v>87805922</v>
      </c>
      <c r="L12" s="206">
        <v>55859517</v>
      </c>
    </row>
    <row r="13" spans="1:12" x14ac:dyDescent="0.25">
      <c r="A13" s="213" t="s">
        <v>38</v>
      </c>
      <c r="B13" s="218" t="s">
        <v>68</v>
      </c>
      <c r="C13" s="209">
        <v>5</v>
      </c>
      <c r="D13" s="210">
        <f>SUM(D14:D19)</f>
        <v>685000</v>
      </c>
      <c r="E13" s="210">
        <f t="shared" ref="E13:G13" si="3">SUM(E14:E19)</f>
        <v>122362</v>
      </c>
      <c r="F13" s="210">
        <f t="shared" si="3"/>
        <v>562638</v>
      </c>
      <c r="G13" s="210">
        <f t="shared" si="3"/>
        <v>0</v>
      </c>
      <c r="H13" s="207" t="s">
        <v>39</v>
      </c>
      <c r="I13" s="206" t="s">
        <v>40</v>
      </c>
      <c r="J13" s="207"/>
      <c r="K13" s="206">
        <v>14737042</v>
      </c>
      <c r="L13" s="206">
        <v>31717405</v>
      </c>
    </row>
    <row r="14" spans="1:12" x14ac:dyDescent="0.25">
      <c r="A14" s="205" t="s">
        <v>41</v>
      </c>
      <c r="B14" s="208" t="s">
        <v>42</v>
      </c>
      <c r="C14" s="206"/>
      <c r="D14" s="206">
        <v>0</v>
      </c>
      <c r="E14" s="206">
        <v>0</v>
      </c>
      <c r="F14" s="206">
        <f>D14-E14</f>
        <v>0</v>
      </c>
      <c r="G14" s="206">
        <v>0</v>
      </c>
      <c r="H14" s="207" t="s">
        <v>43</v>
      </c>
      <c r="I14" s="206" t="s">
        <v>44</v>
      </c>
      <c r="J14" s="207" t="s">
        <v>45</v>
      </c>
      <c r="K14" s="206">
        <v>0</v>
      </c>
      <c r="L14" s="206">
        <v>0</v>
      </c>
    </row>
    <row r="15" spans="1:12" x14ac:dyDescent="0.25">
      <c r="A15" s="205" t="s">
        <v>46</v>
      </c>
      <c r="B15" s="208" t="s">
        <v>47</v>
      </c>
      <c r="C15" s="206"/>
      <c r="D15" s="206">
        <v>0</v>
      </c>
      <c r="E15" s="206">
        <v>0</v>
      </c>
      <c r="F15" s="206">
        <f t="shared" ref="F15:F19" si="4">D15-E15</f>
        <v>0</v>
      </c>
      <c r="G15" s="206">
        <v>0</v>
      </c>
      <c r="H15" s="205" t="s">
        <v>48</v>
      </c>
      <c r="I15" s="212" t="s">
        <v>49</v>
      </c>
      <c r="J15" s="207" t="s">
        <v>45</v>
      </c>
      <c r="K15" s="206">
        <v>0</v>
      </c>
    </row>
    <row r="16" spans="1:12" x14ac:dyDescent="0.25">
      <c r="A16" s="205" t="s">
        <v>50</v>
      </c>
      <c r="B16" s="220" t="s">
        <v>51</v>
      </c>
      <c r="C16" s="206"/>
      <c r="D16" s="206">
        <v>0</v>
      </c>
      <c r="E16" s="206">
        <v>0</v>
      </c>
      <c r="F16" s="206">
        <f t="shared" si="4"/>
        <v>0</v>
      </c>
      <c r="G16" s="206">
        <v>0</v>
      </c>
      <c r="H16" s="213" t="s">
        <v>52</v>
      </c>
      <c r="I16" s="221" t="s">
        <v>53</v>
      </c>
      <c r="J16" s="211"/>
      <c r="K16" s="210">
        <f>SUM(K6:K15)</f>
        <v>102542964</v>
      </c>
      <c r="L16" s="210">
        <f>SUM(L6:L14)</f>
        <v>87576922</v>
      </c>
    </row>
    <row r="17" spans="1:12" x14ac:dyDescent="0.25">
      <c r="A17" s="205" t="s">
        <v>54</v>
      </c>
      <c r="B17" s="208" t="s">
        <v>55</v>
      </c>
      <c r="C17" s="206"/>
      <c r="D17" s="206">
        <v>685000</v>
      </c>
      <c r="E17" s="206">
        <v>122362</v>
      </c>
      <c r="F17" s="206">
        <f t="shared" si="4"/>
        <v>562638</v>
      </c>
      <c r="G17" s="206">
        <v>0</v>
      </c>
      <c r="H17" s="213" t="s">
        <v>56</v>
      </c>
      <c r="I17" s="208" t="s">
        <v>57</v>
      </c>
      <c r="J17" s="207" t="s">
        <v>58</v>
      </c>
      <c r="K17" s="206">
        <v>0</v>
      </c>
      <c r="L17" s="206">
        <v>0</v>
      </c>
    </row>
    <row r="18" spans="1:12" x14ac:dyDescent="0.25">
      <c r="A18" s="205" t="s">
        <v>59</v>
      </c>
      <c r="B18" s="208" t="s">
        <v>60</v>
      </c>
      <c r="C18" s="206"/>
      <c r="D18" s="206">
        <v>0</v>
      </c>
      <c r="E18" s="206">
        <v>0</v>
      </c>
      <c r="F18" s="206">
        <f t="shared" si="4"/>
        <v>0</v>
      </c>
      <c r="G18" s="206">
        <v>0</v>
      </c>
      <c r="H18" s="204" t="s">
        <v>61</v>
      </c>
      <c r="I18" s="206" t="s">
        <v>62</v>
      </c>
      <c r="J18" s="207" t="s">
        <v>58</v>
      </c>
      <c r="K18" s="206">
        <v>0</v>
      </c>
      <c r="L18" s="206">
        <v>0</v>
      </c>
    </row>
    <row r="19" spans="1:12" ht="24" x14ac:dyDescent="0.25">
      <c r="A19" s="205" t="s">
        <v>63</v>
      </c>
      <c r="B19" s="208" t="s">
        <v>64</v>
      </c>
      <c r="C19" s="206"/>
      <c r="D19" s="206">
        <v>0</v>
      </c>
      <c r="E19" s="206">
        <v>0</v>
      </c>
      <c r="F19" s="206">
        <f t="shared" si="4"/>
        <v>0</v>
      </c>
      <c r="G19" s="206">
        <v>0</v>
      </c>
      <c r="H19" s="213" t="s">
        <v>65</v>
      </c>
      <c r="I19" s="214" t="s">
        <v>66</v>
      </c>
      <c r="J19" s="207"/>
      <c r="K19" s="206">
        <f>SUM(K17:K18)</f>
        <v>0</v>
      </c>
      <c r="L19" s="206">
        <f>SUM(L17:L18)</f>
        <v>0</v>
      </c>
    </row>
    <row r="20" spans="1:12" x14ac:dyDescent="0.25">
      <c r="A20" s="205" t="s">
        <v>67</v>
      </c>
      <c r="B20" s="218" t="s">
        <v>69</v>
      </c>
      <c r="C20" s="209">
        <v>6</v>
      </c>
      <c r="D20" s="210">
        <f>SUM(D21:D22)</f>
        <v>180000</v>
      </c>
      <c r="E20" s="210">
        <f t="shared" ref="E20:G20" si="5">SUM(E21:E22)</f>
        <v>0</v>
      </c>
      <c r="F20" s="210">
        <f t="shared" si="5"/>
        <v>180000</v>
      </c>
      <c r="G20" s="210">
        <f t="shared" si="5"/>
        <v>180000</v>
      </c>
      <c r="H20" s="213" t="s">
        <v>70</v>
      </c>
      <c r="I20" s="222" t="s">
        <v>71</v>
      </c>
      <c r="J20" s="211"/>
      <c r="K20" s="210">
        <f>SUM(K16,K19)</f>
        <v>102542964</v>
      </c>
      <c r="L20" s="210">
        <f>SUM(L16,L19)</f>
        <v>87576922</v>
      </c>
    </row>
    <row r="21" spans="1:12" x14ac:dyDescent="0.25">
      <c r="A21" s="205" t="s">
        <v>72</v>
      </c>
      <c r="B21" s="208" t="s">
        <v>73</v>
      </c>
      <c r="C21" s="206"/>
      <c r="D21" s="206">
        <v>0</v>
      </c>
      <c r="E21" s="206">
        <v>0</v>
      </c>
      <c r="F21" s="206">
        <f>D21-E21</f>
        <v>0</v>
      </c>
      <c r="G21" s="206">
        <v>0</v>
      </c>
      <c r="H21" s="205" t="s">
        <v>74</v>
      </c>
      <c r="I21" s="206" t="s">
        <v>75</v>
      </c>
      <c r="J21" s="205" t="s">
        <v>76</v>
      </c>
      <c r="K21" s="206">
        <v>0</v>
      </c>
      <c r="L21" s="206">
        <v>0</v>
      </c>
    </row>
    <row r="22" spans="1:12" x14ac:dyDescent="0.25">
      <c r="A22" s="205" t="s">
        <v>77</v>
      </c>
      <c r="B22" s="208" t="s">
        <v>78</v>
      </c>
      <c r="C22" s="206"/>
      <c r="D22" s="206">
        <v>180000</v>
      </c>
      <c r="E22" s="206">
        <v>0</v>
      </c>
      <c r="F22" s="206">
        <f>D22-E22</f>
        <v>180000</v>
      </c>
      <c r="G22" s="206">
        <v>180000</v>
      </c>
      <c r="H22" s="205" t="s">
        <v>79</v>
      </c>
      <c r="I22" s="206" t="s">
        <v>80</v>
      </c>
      <c r="J22" s="207" t="s">
        <v>76</v>
      </c>
      <c r="K22" s="206">
        <v>0</v>
      </c>
      <c r="L22" s="206">
        <v>0</v>
      </c>
    </row>
    <row r="23" spans="1:12" x14ac:dyDescent="0.25">
      <c r="A23" s="205"/>
      <c r="B23" s="208"/>
      <c r="C23" s="206"/>
      <c r="D23" s="206"/>
      <c r="E23" s="206"/>
      <c r="F23" s="206"/>
      <c r="G23" s="206"/>
      <c r="H23" s="205" t="s">
        <v>81</v>
      </c>
      <c r="I23" s="206" t="s">
        <v>83</v>
      </c>
      <c r="J23" s="207" t="s">
        <v>76</v>
      </c>
      <c r="K23" s="206">
        <v>0</v>
      </c>
      <c r="L23" s="206">
        <v>0</v>
      </c>
    </row>
    <row r="24" spans="1:12" x14ac:dyDescent="0.25">
      <c r="A24" s="205"/>
      <c r="B24" s="208"/>
      <c r="C24" s="206"/>
      <c r="D24" s="206"/>
      <c r="E24" s="206"/>
      <c r="F24" s="206"/>
      <c r="G24" s="206"/>
      <c r="H24" s="205" t="s">
        <v>82</v>
      </c>
      <c r="I24" s="222" t="s">
        <v>84</v>
      </c>
      <c r="J24" s="211"/>
      <c r="K24" s="210">
        <f>SUM(K21:K23)</f>
        <v>0</v>
      </c>
      <c r="L24" s="210">
        <f>SUM(L21:L23)</f>
        <v>0</v>
      </c>
    </row>
    <row r="25" spans="1:12" x14ac:dyDescent="0.25">
      <c r="A25" s="213" t="s">
        <v>85</v>
      </c>
      <c r="B25" s="225" t="s">
        <v>86</v>
      </c>
      <c r="C25" s="371"/>
      <c r="D25" s="371">
        <f>SUM(D20,D13,D9,D6)</f>
        <v>2632600</v>
      </c>
      <c r="E25" s="371">
        <f t="shared" ref="E25:G25" si="6">SUM(E20,E13,E9,E6)</f>
        <v>645821</v>
      </c>
      <c r="F25" s="371">
        <f t="shared" si="6"/>
        <v>1986779</v>
      </c>
      <c r="G25" s="371">
        <f t="shared" si="6"/>
        <v>1777661</v>
      </c>
      <c r="H25" s="207" t="s">
        <v>87</v>
      </c>
      <c r="I25" s="223" t="s">
        <v>88</v>
      </c>
      <c r="J25" s="369"/>
      <c r="K25" s="371">
        <f>SUM(K20,K24)</f>
        <v>102542964</v>
      </c>
      <c r="L25" s="371">
        <f>SUM(L20,L24)</f>
        <v>87576922</v>
      </c>
    </row>
    <row r="26" spans="1:12" x14ac:dyDescent="0.25">
      <c r="A26" s="205" t="s">
        <v>89</v>
      </c>
      <c r="B26" s="208" t="s">
        <v>90</v>
      </c>
      <c r="C26" s="205">
        <v>7</v>
      </c>
      <c r="D26" s="206">
        <v>0</v>
      </c>
      <c r="E26" s="206">
        <v>0</v>
      </c>
      <c r="F26" s="206">
        <f>D26-E26</f>
        <v>0</v>
      </c>
      <c r="G26" s="206">
        <v>0</v>
      </c>
      <c r="H26" s="207" t="s">
        <v>91</v>
      </c>
      <c r="I26" s="206" t="s">
        <v>92</v>
      </c>
      <c r="J26" s="207">
        <v>7</v>
      </c>
      <c r="K26" s="206">
        <v>0</v>
      </c>
      <c r="L26" s="206">
        <v>0</v>
      </c>
    </row>
    <row r="27" spans="1:12" x14ac:dyDescent="0.25">
      <c r="A27" s="205" t="s">
        <v>93</v>
      </c>
      <c r="B27" s="208" t="s">
        <v>94</v>
      </c>
      <c r="C27" s="205">
        <v>8</v>
      </c>
      <c r="D27" s="206">
        <v>0</v>
      </c>
      <c r="E27" s="206">
        <v>0</v>
      </c>
      <c r="F27" s="206">
        <f t="shared" ref="F27:F30" si="7">D27-E27</f>
        <v>0</v>
      </c>
      <c r="G27" s="206">
        <v>0</v>
      </c>
      <c r="H27" s="207" t="s">
        <v>95</v>
      </c>
      <c r="I27" s="206" t="s">
        <v>101</v>
      </c>
      <c r="J27" s="207">
        <v>9</v>
      </c>
      <c r="K27" s="206">
        <v>0</v>
      </c>
      <c r="L27" s="206">
        <v>0</v>
      </c>
    </row>
    <row r="28" spans="1:12" x14ac:dyDescent="0.25">
      <c r="A28" s="205" t="s">
        <v>96</v>
      </c>
      <c r="B28" s="208" t="s">
        <v>97</v>
      </c>
      <c r="C28" s="205">
        <v>19</v>
      </c>
      <c r="D28" s="206">
        <v>2875750</v>
      </c>
      <c r="E28" s="206">
        <v>0</v>
      </c>
      <c r="F28" s="206">
        <f t="shared" si="7"/>
        <v>2875750</v>
      </c>
      <c r="G28" s="206">
        <v>0</v>
      </c>
      <c r="H28" s="207" t="s">
        <v>98</v>
      </c>
      <c r="I28" s="206" t="s">
        <v>99</v>
      </c>
      <c r="J28" s="207">
        <v>19</v>
      </c>
      <c r="K28" s="206">
        <v>662000</v>
      </c>
      <c r="L28" s="206">
        <v>577255</v>
      </c>
    </row>
    <row r="29" spans="1:12" x14ac:dyDescent="0.25">
      <c r="A29" s="205" t="s">
        <v>100</v>
      </c>
      <c r="B29" s="208" t="s">
        <v>102</v>
      </c>
      <c r="C29" s="205">
        <v>9</v>
      </c>
      <c r="D29" s="206">
        <v>0</v>
      </c>
      <c r="E29" s="206">
        <v>0</v>
      </c>
      <c r="F29" s="206">
        <f t="shared" si="7"/>
        <v>0</v>
      </c>
      <c r="G29" s="206">
        <v>0</v>
      </c>
      <c r="H29" s="207" t="s">
        <v>103</v>
      </c>
      <c r="I29" s="206" t="s">
        <v>104</v>
      </c>
      <c r="J29" s="207" t="s">
        <v>105</v>
      </c>
      <c r="K29" s="206">
        <v>32940</v>
      </c>
      <c r="L29" s="206">
        <v>0</v>
      </c>
    </row>
    <row r="30" spans="1:12" x14ac:dyDescent="0.25">
      <c r="A30" s="205" t="s">
        <v>106</v>
      </c>
      <c r="B30" s="208" t="s">
        <v>107</v>
      </c>
      <c r="C30" s="205">
        <v>10</v>
      </c>
      <c r="D30" s="206">
        <v>0</v>
      </c>
      <c r="E30" s="206">
        <v>0</v>
      </c>
      <c r="F30" s="206">
        <f t="shared" si="7"/>
        <v>0</v>
      </c>
      <c r="G30" s="206">
        <v>0</v>
      </c>
      <c r="H30" s="207"/>
      <c r="I30" s="206"/>
      <c r="J30" s="207"/>
      <c r="K30" s="206"/>
      <c r="L30" s="206"/>
    </row>
    <row r="31" spans="1:12" x14ac:dyDescent="0.25">
      <c r="A31" s="213" t="s">
        <v>108</v>
      </c>
      <c r="B31" s="225" t="s">
        <v>109</v>
      </c>
      <c r="C31" s="224"/>
      <c r="D31" s="371">
        <f>SUM(D26:D30)</f>
        <v>2875750</v>
      </c>
      <c r="E31" s="371">
        <f t="shared" ref="E31:G31" si="8">SUM(E26:E30)</f>
        <v>0</v>
      </c>
      <c r="F31" s="371">
        <f t="shared" si="8"/>
        <v>2875750</v>
      </c>
      <c r="G31" s="371">
        <f t="shared" si="8"/>
        <v>0</v>
      </c>
      <c r="H31" s="204" t="s">
        <v>110</v>
      </c>
      <c r="I31" s="223" t="s">
        <v>111</v>
      </c>
      <c r="J31" s="369"/>
      <c r="K31" s="371">
        <f>SUM(K26:K29)</f>
        <v>694940</v>
      </c>
      <c r="L31" s="371">
        <f>SUM(L26:L29)</f>
        <v>577255</v>
      </c>
    </row>
    <row r="32" spans="1:12" x14ac:dyDescent="0.25">
      <c r="A32" s="205" t="s">
        <v>112</v>
      </c>
      <c r="B32" s="208" t="s">
        <v>113</v>
      </c>
      <c r="C32" s="205">
        <v>11</v>
      </c>
      <c r="D32" s="206">
        <v>0</v>
      </c>
      <c r="E32" s="206">
        <v>0</v>
      </c>
      <c r="F32" s="206">
        <f>D32-E32</f>
        <v>0</v>
      </c>
      <c r="G32" s="206">
        <v>0</v>
      </c>
      <c r="H32" s="205" t="s">
        <v>114</v>
      </c>
      <c r="I32" s="206" t="s">
        <v>115</v>
      </c>
      <c r="J32" s="207">
        <v>22</v>
      </c>
      <c r="K32" s="206">
        <v>0</v>
      </c>
      <c r="L32" s="206">
        <v>0</v>
      </c>
    </row>
    <row r="33" spans="1:12" x14ac:dyDescent="0.25">
      <c r="A33" s="205" t="s">
        <v>116</v>
      </c>
      <c r="B33" s="208" t="s">
        <v>117</v>
      </c>
      <c r="C33" s="205">
        <v>12</v>
      </c>
      <c r="D33" s="206">
        <v>0</v>
      </c>
      <c r="E33" s="206">
        <v>0</v>
      </c>
      <c r="F33" s="206">
        <f t="shared" ref="F33:F34" si="9">D33-E33</f>
        <v>0</v>
      </c>
      <c r="G33" s="206">
        <v>0</v>
      </c>
      <c r="H33" s="207"/>
      <c r="I33" s="206"/>
      <c r="J33" s="207"/>
      <c r="K33" s="206"/>
      <c r="L33" s="206"/>
    </row>
    <row r="34" spans="1:12" ht="24" x14ac:dyDescent="0.25">
      <c r="A34" s="205" t="s">
        <v>118</v>
      </c>
      <c r="B34" s="208" t="s">
        <v>119</v>
      </c>
      <c r="C34" s="205">
        <v>13</v>
      </c>
      <c r="D34" s="206">
        <v>98375375</v>
      </c>
      <c r="E34" s="206">
        <v>0</v>
      </c>
      <c r="F34" s="206">
        <f t="shared" si="9"/>
        <v>98375375</v>
      </c>
      <c r="G34" s="206">
        <v>86376516</v>
      </c>
      <c r="H34" s="205"/>
      <c r="I34" s="206"/>
      <c r="J34" s="207"/>
      <c r="K34" s="206"/>
      <c r="L34" s="206"/>
    </row>
    <row r="35" spans="1:12" x14ac:dyDescent="0.25">
      <c r="A35" s="213" t="s">
        <v>120</v>
      </c>
      <c r="B35" s="225" t="s">
        <v>121</v>
      </c>
      <c r="C35" s="224"/>
      <c r="D35" s="371">
        <f>SUM(D32:D34)</f>
        <v>98375375</v>
      </c>
      <c r="E35" s="371">
        <f t="shared" ref="E35:G35" si="10">SUM(E32:E34)</f>
        <v>0</v>
      </c>
      <c r="F35" s="371">
        <f t="shared" si="10"/>
        <v>98375375</v>
      </c>
      <c r="G35" s="371">
        <f t="shared" si="10"/>
        <v>86376516</v>
      </c>
      <c r="H35" s="213" t="s">
        <v>122</v>
      </c>
      <c r="I35" s="223" t="s">
        <v>123</v>
      </c>
      <c r="J35" s="371"/>
      <c r="K35" s="371">
        <f>K32</f>
        <v>0</v>
      </c>
      <c r="L35" s="371">
        <f>L32</f>
        <v>0</v>
      </c>
    </row>
    <row r="36" spans="1:12" x14ac:dyDescent="0.25">
      <c r="A36" s="205" t="s">
        <v>124</v>
      </c>
      <c r="B36" s="208" t="s">
        <v>125</v>
      </c>
      <c r="C36" s="205">
        <v>14</v>
      </c>
      <c r="D36" s="206">
        <v>0</v>
      </c>
      <c r="E36" s="206">
        <v>0</v>
      </c>
      <c r="F36" s="206"/>
      <c r="G36" s="206">
        <v>0</v>
      </c>
      <c r="H36" s="205" t="s">
        <v>126</v>
      </c>
      <c r="I36" s="206" t="s">
        <v>127</v>
      </c>
      <c r="J36" s="206">
        <v>14</v>
      </c>
      <c r="K36" s="206">
        <v>0</v>
      </c>
      <c r="L36" s="206">
        <v>0</v>
      </c>
    </row>
    <row r="37" spans="1:12" x14ac:dyDescent="0.25">
      <c r="A37" s="352" t="s">
        <v>128</v>
      </c>
      <c r="B37" s="227" t="s">
        <v>129</v>
      </c>
      <c r="C37" s="362"/>
      <c r="D37" s="362">
        <f>SUM(D25,D31,D35,D36)</f>
        <v>103883725</v>
      </c>
      <c r="E37" s="362">
        <f t="shared" ref="E37:G37" si="11">SUM(E25,E31,E35,E36)</f>
        <v>645821</v>
      </c>
      <c r="F37" s="362">
        <f t="shared" si="11"/>
        <v>103237904</v>
      </c>
      <c r="G37" s="362">
        <f t="shared" si="11"/>
        <v>88154177</v>
      </c>
      <c r="H37" s="363" t="s">
        <v>130</v>
      </c>
      <c r="I37" s="226" t="s">
        <v>129</v>
      </c>
      <c r="J37" s="362"/>
      <c r="K37" s="362">
        <f>SUM(K25,K31,K35,K36)</f>
        <v>103237904</v>
      </c>
      <c r="L37" s="362">
        <f>SUM(L25,L31,L35,L36)</f>
        <v>88154177</v>
      </c>
    </row>
  </sheetData>
  <mergeCells count="7">
    <mergeCell ref="I4:I5"/>
    <mergeCell ref="J4:J5"/>
    <mergeCell ref="D4:F4"/>
    <mergeCell ref="A4:A5"/>
    <mergeCell ref="B4:B5"/>
    <mergeCell ref="C4:C5"/>
    <mergeCell ref="H4:H5"/>
  </mergeCells>
  <pageMargins left="0.7" right="0.7" top="0.75" bottom="0.75" header="0.3" footer="0.3"/>
  <pageSetup paperSize="9" scale="6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34"/>
  <sheetViews>
    <sheetView topLeftCell="A10" workbookViewId="0">
      <selection activeCell="I32" sqref="I32"/>
    </sheetView>
  </sheetViews>
  <sheetFormatPr baseColWidth="10" defaultColWidth="11.44140625" defaultRowHeight="13.8" x14ac:dyDescent="0.25"/>
  <cols>
    <col min="1" max="1" width="5.44140625" style="5" customWidth="1"/>
    <col min="2" max="2" width="55.77734375" style="5" customWidth="1"/>
    <col min="3" max="3" width="8.5546875" style="5" customWidth="1"/>
    <col min="4" max="4" width="12" style="5" customWidth="1"/>
    <col min="5" max="5" width="13.88671875" style="5" customWidth="1"/>
    <col min="6" max="6" width="11.44140625" style="5" customWidth="1"/>
    <col min="7" max="16384" width="11.44140625" style="5"/>
  </cols>
  <sheetData>
    <row r="5" spans="1:5" ht="27.6" x14ac:dyDescent="0.25">
      <c r="A5" s="486" t="s">
        <v>0</v>
      </c>
      <c r="B5" s="486" t="s">
        <v>131</v>
      </c>
      <c r="C5" s="486" t="s">
        <v>132</v>
      </c>
      <c r="D5" s="182" t="s">
        <v>5</v>
      </c>
      <c r="E5" s="182" t="s">
        <v>3</v>
      </c>
    </row>
    <row r="6" spans="1:5" x14ac:dyDescent="0.25">
      <c r="A6" s="487"/>
      <c r="B6" s="487"/>
      <c r="C6" s="487"/>
      <c r="D6" s="190" t="s">
        <v>8</v>
      </c>
      <c r="E6" s="190" t="s">
        <v>8</v>
      </c>
    </row>
    <row r="7" spans="1:5" x14ac:dyDescent="0.25">
      <c r="A7" s="163" t="s">
        <v>133</v>
      </c>
      <c r="B7" s="165" t="s">
        <v>134</v>
      </c>
      <c r="C7" s="163">
        <v>23</v>
      </c>
      <c r="D7" s="189">
        <v>12791669</v>
      </c>
      <c r="E7" s="355">
        <v>0</v>
      </c>
    </row>
    <row r="8" spans="1:5" x14ac:dyDescent="0.25">
      <c r="A8" s="163" t="s">
        <v>135</v>
      </c>
      <c r="B8" s="165" t="s">
        <v>136</v>
      </c>
      <c r="C8" s="163">
        <v>23</v>
      </c>
      <c r="D8" s="355">
        <v>0</v>
      </c>
      <c r="E8" s="355">
        <v>0</v>
      </c>
    </row>
    <row r="9" spans="1:5" x14ac:dyDescent="0.25">
      <c r="A9" s="163" t="s">
        <v>137</v>
      </c>
      <c r="B9" s="165" t="s">
        <v>138</v>
      </c>
      <c r="C9" s="163">
        <v>23</v>
      </c>
      <c r="D9" s="355">
        <v>112035596</v>
      </c>
      <c r="E9" s="355">
        <v>125670000</v>
      </c>
    </row>
    <row r="10" spans="1:5" x14ac:dyDescent="0.25">
      <c r="A10" s="163" t="s">
        <v>139</v>
      </c>
      <c r="B10" s="165" t="s">
        <v>140</v>
      </c>
      <c r="C10" s="163">
        <v>23</v>
      </c>
      <c r="D10" s="355">
        <v>0</v>
      </c>
      <c r="E10" s="355">
        <v>0</v>
      </c>
    </row>
    <row r="11" spans="1:5" x14ac:dyDescent="0.25">
      <c r="A11" s="163" t="s">
        <v>141</v>
      </c>
      <c r="B11" s="165" t="s">
        <v>142</v>
      </c>
      <c r="C11" s="163">
        <v>23</v>
      </c>
      <c r="D11" s="355">
        <v>0</v>
      </c>
      <c r="E11" s="355">
        <v>0</v>
      </c>
    </row>
    <row r="12" spans="1:5" x14ac:dyDescent="0.25">
      <c r="A12" s="163" t="s">
        <v>143</v>
      </c>
      <c r="B12" s="165" t="s">
        <v>144</v>
      </c>
      <c r="C12" s="163">
        <v>23</v>
      </c>
      <c r="D12" s="355">
        <v>0</v>
      </c>
      <c r="E12" s="355">
        <v>0</v>
      </c>
    </row>
    <row r="13" spans="1:5" x14ac:dyDescent="0.25">
      <c r="A13" s="163" t="s">
        <v>145</v>
      </c>
      <c r="B13" s="165" t="s">
        <v>146</v>
      </c>
      <c r="C13" s="163">
        <v>23</v>
      </c>
      <c r="D13" s="355">
        <v>0</v>
      </c>
      <c r="E13" s="355">
        <v>5255456</v>
      </c>
    </row>
    <row r="14" spans="1:5" ht="27.6" x14ac:dyDescent="0.25">
      <c r="A14" s="163" t="s">
        <v>147</v>
      </c>
      <c r="B14" s="26" t="s">
        <v>148</v>
      </c>
      <c r="C14" s="163" t="s">
        <v>149</v>
      </c>
      <c r="D14" s="355">
        <v>0</v>
      </c>
      <c r="E14" s="355">
        <v>0</v>
      </c>
    </row>
    <row r="15" spans="1:5" ht="27.6" x14ac:dyDescent="0.25">
      <c r="A15" s="163" t="s">
        <v>150</v>
      </c>
      <c r="B15" s="170" t="s">
        <v>151</v>
      </c>
      <c r="C15" s="178"/>
      <c r="D15" s="356">
        <f>SUM(D7:D14)</f>
        <v>124827265</v>
      </c>
      <c r="E15" s="356">
        <f>SUM(E7:E14)</f>
        <v>130925456</v>
      </c>
    </row>
    <row r="16" spans="1:5" x14ac:dyDescent="0.25">
      <c r="A16" s="163" t="s">
        <v>152</v>
      </c>
      <c r="B16" s="165" t="s">
        <v>153</v>
      </c>
      <c r="C16" s="163">
        <v>24</v>
      </c>
      <c r="D16" s="355">
        <v>24348375</v>
      </c>
      <c r="E16" s="355">
        <v>0</v>
      </c>
    </row>
    <row r="17" spans="1:7" x14ac:dyDescent="0.25">
      <c r="A17" s="163" t="s">
        <v>154</v>
      </c>
      <c r="B17" s="165" t="s">
        <v>155</v>
      </c>
      <c r="C17" s="163">
        <v>8</v>
      </c>
      <c r="D17" s="355">
        <v>0</v>
      </c>
      <c r="E17" s="355">
        <v>0</v>
      </c>
    </row>
    <row r="18" spans="1:7" x14ac:dyDescent="0.25">
      <c r="A18" s="163" t="s">
        <v>156</v>
      </c>
      <c r="B18" s="165" t="s">
        <v>157</v>
      </c>
      <c r="C18" s="163">
        <v>24</v>
      </c>
      <c r="D18" s="355">
        <v>0</v>
      </c>
      <c r="E18" s="355">
        <v>0</v>
      </c>
    </row>
    <row r="19" spans="1:7" x14ac:dyDescent="0.25">
      <c r="A19" s="163" t="s">
        <v>158</v>
      </c>
      <c r="B19" s="165" t="s">
        <v>159</v>
      </c>
      <c r="C19" s="163">
        <v>24</v>
      </c>
      <c r="D19" s="355">
        <v>50000</v>
      </c>
      <c r="E19" s="355">
        <v>1524950</v>
      </c>
    </row>
    <row r="20" spans="1:7" ht="27.6" x14ac:dyDescent="0.25">
      <c r="A20" s="163" t="s">
        <v>160</v>
      </c>
      <c r="B20" s="26" t="s">
        <v>161</v>
      </c>
      <c r="C20" s="163">
        <v>8</v>
      </c>
      <c r="D20" s="355">
        <v>0</v>
      </c>
      <c r="E20" s="355">
        <v>100000</v>
      </c>
    </row>
    <row r="21" spans="1:7" x14ac:dyDescent="0.25">
      <c r="A21" s="163" t="s">
        <v>162</v>
      </c>
      <c r="B21" s="165" t="s">
        <v>163</v>
      </c>
      <c r="C21" s="163">
        <v>25</v>
      </c>
      <c r="D21" s="355">
        <v>49211943</v>
      </c>
      <c r="E21" s="355">
        <v>40067064</v>
      </c>
    </row>
    <row r="22" spans="1:7" x14ac:dyDescent="0.25">
      <c r="A22" s="163" t="s">
        <v>164</v>
      </c>
      <c r="B22" s="165" t="s">
        <v>165</v>
      </c>
      <c r="C22" s="163">
        <v>26</v>
      </c>
      <c r="D22" s="355">
        <v>35241523</v>
      </c>
      <c r="E22" s="355">
        <v>54053118</v>
      </c>
    </row>
    <row r="23" spans="1:7" x14ac:dyDescent="0.25">
      <c r="A23" s="163" t="s">
        <v>166</v>
      </c>
      <c r="B23" s="165" t="s">
        <v>167</v>
      </c>
      <c r="C23" s="163">
        <v>27</v>
      </c>
      <c r="D23" s="355">
        <v>0</v>
      </c>
      <c r="E23" s="355">
        <v>132300</v>
      </c>
    </row>
    <row r="24" spans="1:7" x14ac:dyDescent="0.25">
      <c r="A24" s="163" t="s">
        <v>168</v>
      </c>
      <c r="B24" s="165" t="s">
        <v>169</v>
      </c>
      <c r="C24" s="163">
        <v>28</v>
      </c>
      <c r="D24" s="355">
        <v>762500</v>
      </c>
      <c r="E24" s="355">
        <v>3160680</v>
      </c>
    </row>
    <row r="25" spans="1:7" x14ac:dyDescent="0.25">
      <c r="A25" s="163" t="s">
        <v>170</v>
      </c>
      <c r="B25" s="165" t="s">
        <v>171</v>
      </c>
      <c r="C25" s="163">
        <v>29</v>
      </c>
      <c r="D25" s="355">
        <v>0</v>
      </c>
      <c r="E25" s="355">
        <v>0</v>
      </c>
    </row>
    <row r="26" spans="1:7" x14ac:dyDescent="0.25">
      <c r="A26" s="163" t="s">
        <v>172</v>
      </c>
      <c r="B26" s="165" t="s">
        <v>173</v>
      </c>
      <c r="C26" s="163">
        <v>31</v>
      </c>
      <c r="D26" s="355">
        <v>0</v>
      </c>
      <c r="E26" s="355">
        <v>0</v>
      </c>
    </row>
    <row r="27" spans="1:7" ht="27.6" x14ac:dyDescent="0.25">
      <c r="A27" s="163" t="s">
        <v>174</v>
      </c>
      <c r="B27" s="26" t="s">
        <v>175</v>
      </c>
      <c r="C27" s="163" t="s">
        <v>149</v>
      </c>
      <c r="D27" s="355">
        <v>475882</v>
      </c>
      <c r="E27" s="355">
        <v>169939</v>
      </c>
    </row>
    <row r="28" spans="1:7" ht="27.6" x14ac:dyDescent="0.25">
      <c r="A28" s="163" t="s">
        <v>176</v>
      </c>
      <c r="B28" s="170" t="s">
        <v>1170</v>
      </c>
      <c r="C28" s="178"/>
      <c r="D28" s="356">
        <f>SUM(D16:D27)</f>
        <v>110090223</v>
      </c>
      <c r="E28" s="356">
        <f>SUM(E16:E27)</f>
        <v>99208051</v>
      </c>
      <c r="G28" s="5" t="s">
        <v>405</v>
      </c>
    </row>
    <row r="29" spans="1:7" x14ac:dyDescent="0.25">
      <c r="A29" s="163" t="s">
        <v>177</v>
      </c>
      <c r="B29" s="166" t="s">
        <v>178</v>
      </c>
      <c r="C29" s="163"/>
      <c r="D29" s="355">
        <f>D15-D28</f>
        <v>14737042</v>
      </c>
      <c r="E29" s="355">
        <f>E15-E28</f>
        <v>31717405</v>
      </c>
    </row>
    <row r="30" spans="1:7" x14ac:dyDescent="0.25">
      <c r="A30" s="163" t="s">
        <v>179</v>
      </c>
      <c r="B30" s="165" t="s">
        <v>180</v>
      </c>
      <c r="C30" s="163">
        <v>32</v>
      </c>
      <c r="D30" s="355">
        <v>0</v>
      </c>
      <c r="E30" s="355">
        <v>0</v>
      </c>
    </row>
    <row r="31" spans="1:7" x14ac:dyDescent="0.25">
      <c r="A31" s="163" t="s">
        <v>181</v>
      </c>
      <c r="B31" s="165" t="s">
        <v>182</v>
      </c>
      <c r="C31" s="163">
        <v>32</v>
      </c>
      <c r="D31" s="355">
        <v>0</v>
      </c>
      <c r="E31" s="355">
        <v>0</v>
      </c>
    </row>
    <row r="32" spans="1:7" x14ac:dyDescent="0.25">
      <c r="A32" s="163" t="s">
        <v>183</v>
      </c>
      <c r="B32" s="166" t="s">
        <v>184</v>
      </c>
      <c r="C32" s="163"/>
      <c r="D32" s="355">
        <f>D30-D31</f>
        <v>0</v>
      </c>
      <c r="E32" s="355">
        <f>E30-E31</f>
        <v>0</v>
      </c>
    </row>
    <row r="33" spans="1:5" ht="27.6" x14ac:dyDescent="0.25">
      <c r="A33" s="163" t="s">
        <v>185</v>
      </c>
      <c r="B33" s="228" t="s">
        <v>1130</v>
      </c>
      <c r="C33" s="354"/>
      <c r="D33" s="357">
        <f>D29+D32</f>
        <v>14737042</v>
      </c>
      <c r="E33" s="357">
        <f>E29+E32</f>
        <v>31717405</v>
      </c>
    </row>
    <row r="34" spans="1:5" x14ac:dyDescent="0.25">
      <c r="A34" s="91"/>
      <c r="B34" s="91"/>
      <c r="C34" s="91"/>
      <c r="D34" s="91"/>
      <c r="E34" s="91"/>
    </row>
  </sheetData>
  <mergeCells count="3">
    <mergeCell ref="A5:A6"/>
    <mergeCell ref="B5:B6"/>
    <mergeCell ref="C5:C6"/>
  </mergeCells>
  <pageMargins left="0.7" right="0.7" top="0.75" bottom="0.75" header="0.3" footer="0.3"/>
  <pageSetup paperSize="9" scale="8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13"/>
  <sheetViews>
    <sheetView topLeftCell="A3" workbookViewId="0">
      <selection activeCell="G17" sqref="G17"/>
    </sheetView>
  </sheetViews>
  <sheetFormatPr baseColWidth="10" defaultColWidth="11.44140625" defaultRowHeight="13.8" x14ac:dyDescent="0.25"/>
  <cols>
    <col min="1" max="1" width="5.88671875" style="5" customWidth="1"/>
    <col min="2" max="2" width="41.44140625" style="5" customWidth="1"/>
    <col min="3" max="3" width="12.88671875" style="5" customWidth="1"/>
    <col min="4" max="4" width="15.77734375" style="5" customWidth="1"/>
    <col min="5" max="5" width="15" style="5" customWidth="1"/>
    <col min="6" max="6" width="13.5546875" style="5" customWidth="1"/>
    <col min="7" max="7" width="15.5546875" style="5" customWidth="1"/>
    <col min="8" max="8" width="15.109375" style="5" customWidth="1"/>
    <col min="9" max="16384" width="11.44140625" style="5"/>
  </cols>
  <sheetData>
    <row r="6" spans="1:8" x14ac:dyDescent="0.25">
      <c r="A6" s="5" t="s">
        <v>1220</v>
      </c>
    </row>
    <row r="7" spans="1:8" ht="33" customHeight="1" x14ac:dyDescent="0.25">
      <c r="A7" s="488" t="s">
        <v>1215</v>
      </c>
      <c r="B7" s="488" t="s">
        <v>1123</v>
      </c>
      <c r="C7" s="196" t="s">
        <v>1216</v>
      </c>
      <c r="D7" s="41" t="s">
        <v>1124</v>
      </c>
      <c r="E7" s="41" t="s">
        <v>1125</v>
      </c>
      <c r="F7" s="41" t="s">
        <v>1128</v>
      </c>
      <c r="G7" s="196" t="s">
        <v>1217</v>
      </c>
      <c r="H7" s="196" t="s">
        <v>1126</v>
      </c>
    </row>
    <row r="8" spans="1:8" x14ac:dyDescent="0.25">
      <c r="A8" s="489"/>
      <c r="B8" s="489"/>
      <c r="C8" s="438">
        <v>1</v>
      </c>
      <c r="D8" s="438">
        <v>2</v>
      </c>
      <c r="E8" s="438">
        <v>3</v>
      </c>
      <c r="F8" s="438" t="s">
        <v>1218</v>
      </c>
      <c r="G8" s="438" t="s">
        <v>1219</v>
      </c>
      <c r="H8" s="439" t="s">
        <v>1127</v>
      </c>
    </row>
    <row r="9" spans="1:8" x14ac:dyDescent="0.25">
      <c r="A9" s="440">
        <v>1</v>
      </c>
      <c r="B9" s="440" t="s">
        <v>1244</v>
      </c>
      <c r="C9" s="440">
        <v>199781925</v>
      </c>
      <c r="D9" s="440">
        <v>101876987</v>
      </c>
      <c r="E9" s="440"/>
      <c r="F9" s="440">
        <f>D9+E9</f>
        <v>101876987</v>
      </c>
      <c r="G9" s="440">
        <f>C9-F9</f>
        <v>97904938</v>
      </c>
      <c r="H9" s="440">
        <f>IF(C9=0,0,(F9/C9)*100)</f>
        <v>50.994096187630589</v>
      </c>
    </row>
    <row r="10" spans="1:8" x14ac:dyDescent="0.25">
      <c r="A10" s="443">
        <v>2</v>
      </c>
      <c r="B10" s="443" t="s">
        <v>1245</v>
      </c>
      <c r="C10" s="443">
        <v>5400000</v>
      </c>
      <c r="D10" s="443">
        <v>5400000</v>
      </c>
      <c r="E10" s="442"/>
      <c r="F10" s="442">
        <f t="shared" ref="F10:F13" si="0">D10+E10</f>
        <v>5400000</v>
      </c>
      <c r="G10" s="442">
        <f t="shared" ref="G10:G13" si="1">C10-F10</f>
        <v>0</v>
      </c>
      <c r="H10" s="442">
        <f t="shared" ref="H10:H13" si="2">IF(C10=0,0,(F10/C10)*100)</f>
        <v>100</v>
      </c>
    </row>
    <row r="11" spans="1:8" x14ac:dyDescent="0.25">
      <c r="A11" s="443">
        <v>3</v>
      </c>
      <c r="B11" s="443" t="s">
        <v>1246</v>
      </c>
      <c r="C11" s="443">
        <v>1296000</v>
      </c>
      <c r="D11" s="443">
        <v>1296000</v>
      </c>
      <c r="E11" s="442"/>
      <c r="F11" s="442">
        <f t="shared" si="0"/>
        <v>1296000</v>
      </c>
      <c r="G11" s="442">
        <f t="shared" si="1"/>
        <v>0</v>
      </c>
      <c r="H11" s="442">
        <f t="shared" si="2"/>
        <v>100</v>
      </c>
    </row>
    <row r="12" spans="1:8" x14ac:dyDescent="0.25">
      <c r="A12" s="443">
        <v>4</v>
      </c>
      <c r="B12" s="443" t="s">
        <v>1248</v>
      </c>
      <c r="C12" s="443">
        <v>500000</v>
      </c>
      <c r="D12" s="443">
        <v>500000</v>
      </c>
      <c r="E12" s="442"/>
      <c r="F12" s="442">
        <f t="shared" si="0"/>
        <v>500000</v>
      </c>
      <c r="G12" s="442">
        <f t="shared" si="1"/>
        <v>0</v>
      </c>
      <c r="H12" s="442">
        <f t="shared" si="2"/>
        <v>100</v>
      </c>
    </row>
    <row r="13" spans="1:8" x14ac:dyDescent="0.25">
      <c r="A13" s="443"/>
      <c r="B13" s="443"/>
      <c r="C13" s="443"/>
      <c r="D13" s="443"/>
      <c r="E13" s="442"/>
      <c r="F13" s="442">
        <f t="shared" si="0"/>
        <v>0</v>
      </c>
      <c r="G13" s="442">
        <f t="shared" si="1"/>
        <v>0</v>
      </c>
      <c r="H13" s="442">
        <f t="shared" si="2"/>
        <v>0</v>
      </c>
    </row>
  </sheetData>
  <mergeCells count="2">
    <mergeCell ref="A7:A8"/>
    <mergeCell ref="B7:B8"/>
  </mergeCells>
  <pageMargins left="0.7" right="0.7" top="0.75" bottom="0.75" header="0.3" footer="0.3"/>
  <pageSetup paperSize="9"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38"/>
  <sheetViews>
    <sheetView topLeftCell="A13" zoomScale="96" workbookViewId="0">
      <selection activeCell="G15" sqref="G15"/>
    </sheetView>
  </sheetViews>
  <sheetFormatPr baseColWidth="10" defaultColWidth="11.44140625" defaultRowHeight="13.8" x14ac:dyDescent="0.25"/>
  <cols>
    <col min="1" max="1" width="4.77734375" style="5" customWidth="1"/>
    <col min="2" max="2" width="57.5546875" style="5" customWidth="1"/>
    <col min="3" max="3" width="5" style="5" customWidth="1"/>
    <col min="4" max="4" width="7.88671875" style="5" customWidth="1"/>
    <col min="5" max="5" width="15.21875" style="5" customWidth="1"/>
    <col min="6" max="6" width="13.77734375" style="5" customWidth="1"/>
    <col min="7" max="16384" width="11.44140625" style="5"/>
  </cols>
  <sheetData>
    <row r="4" spans="1:6" ht="27.6" x14ac:dyDescent="0.25">
      <c r="A4" s="41" t="s">
        <v>0</v>
      </c>
      <c r="B4" s="490" t="s">
        <v>131</v>
      </c>
      <c r="C4" s="491"/>
      <c r="D4" s="41" t="s">
        <v>2</v>
      </c>
      <c r="E4" s="196" t="s">
        <v>1121</v>
      </c>
      <c r="F4" s="196" t="s">
        <v>1129</v>
      </c>
    </row>
    <row r="5" spans="1:6" x14ac:dyDescent="0.25">
      <c r="A5" s="193" t="s">
        <v>186</v>
      </c>
      <c r="B5" s="231" t="s">
        <v>1132</v>
      </c>
      <c r="C5" s="493" t="s">
        <v>187</v>
      </c>
      <c r="D5" s="358"/>
      <c r="E5" s="495">
        <v>86376516</v>
      </c>
      <c r="F5" s="495">
        <v>55457517</v>
      </c>
    </row>
    <row r="6" spans="1:6" x14ac:dyDescent="0.25">
      <c r="A6" s="193"/>
      <c r="B6" s="232" t="s">
        <v>1131</v>
      </c>
      <c r="C6" s="494"/>
      <c r="D6" s="359"/>
      <c r="E6" s="496"/>
      <c r="F6" s="496"/>
    </row>
    <row r="7" spans="1:6" x14ac:dyDescent="0.25">
      <c r="A7" s="163"/>
      <c r="B7" s="43" t="s">
        <v>188</v>
      </c>
      <c r="C7" s="163"/>
      <c r="D7" s="15"/>
      <c r="E7" s="15"/>
      <c r="F7" s="15"/>
    </row>
    <row r="8" spans="1:6" x14ac:dyDescent="0.25">
      <c r="A8" s="163" t="s">
        <v>189</v>
      </c>
      <c r="B8" s="15" t="s">
        <v>190</v>
      </c>
      <c r="C8" s="163"/>
      <c r="D8" s="15"/>
      <c r="E8" s="15">
        <v>12791669</v>
      </c>
      <c r="F8" s="15">
        <v>0</v>
      </c>
    </row>
    <row r="9" spans="1:6" x14ac:dyDescent="0.25">
      <c r="A9" s="163" t="s">
        <v>191</v>
      </c>
      <c r="B9" s="15" t="s">
        <v>192</v>
      </c>
      <c r="C9" s="163"/>
      <c r="D9" s="15"/>
      <c r="E9" s="15">
        <v>0</v>
      </c>
      <c r="F9" s="15">
        <v>0</v>
      </c>
    </row>
    <row r="10" spans="1:6" x14ac:dyDescent="0.25">
      <c r="A10" s="163" t="s">
        <v>193</v>
      </c>
      <c r="B10" s="15" t="s">
        <v>194</v>
      </c>
      <c r="C10" s="163"/>
      <c r="D10" s="15"/>
      <c r="E10" s="15">
        <v>112035596</v>
      </c>
      <c r="F10" s="15">
        <v>125670000</v>
      </c>
    </row>
    <row r="11" spans="1:6" x14ac:dyDescent="0.25">
      <c r="A11" s="163" t="s">
        <v>195</v>
      </c>
      <c r="B11" s="15" t="s">
        <v>196</v>
      </c>
      <c r="C11" s="163"/>
      <c r="D11" s="15"/>
      <c r="E11" s="15">
        <v>0</v>
      </c>
      <c r="F11" s="15">
        <v>0</v>
      </c>
    </row>
    <row r="12" spans="1:6" x14ac:dyDescent="0.25">
      <c r="A12" s="163" t="s">
        <v>197</v>
      </c>
      <c r="B12" s="15" t="s">
        <v>198</v>
      </c>
      <c r="C12" s="163"/>
      <c r="D12" s="15"/>
      <c r="E12" s="15">
        <v>326000</v>
      </c>
      <c r="F12" s="15">
        <v>5255456</v>
      </c>
    </row>
    <row r="13" spans="1:6" x14ac:dyDescent="0.25">
      <c r="A13" s="163" t="s">
        <v>199</v>
      </c>
      <c r="B13" s="15" t="s">
        <v>200</v>
      </c>
      <c r="C13" s="163"/>
      <c r="D13" s="15"/>
      <c r="E13" s="15">
        <v>112469406</v>
      </c>
      <c r="F13" s="15">
        <v>98058857</v>
      </c>
    </row>
    <row r="14" spans="1:6" x14ac:dyDescent="0.25">
      <c r="A14" s="163" t="s">
        <v>201</v>
      </c>
      <c r="B14" s="15" t="s">
        <v>202</v>
      </c>
      <c r="C14" s="163"/>
      <c r="D14" s="15"/>
      <c r="E14" s="15">
        <v>0</v>
      </c>
      <c r="F14" s="15">
        <v>0</v>
      </c>
    </row>
    <row r="15" spans="1:6" x14ac:dyDescent="0.25">
      <c r="A15" s="163" t="s">
        <v>1122</v>
      </c>
      <c r="B15" s="15" t="s">
        <v>1171</v>
      </c>
      <c r="C15" s="163"/>
      <c r="D15" s="15"/>
      <c r="E15" s="15">
        <v>0</v>
      </c>
      <c r="F15" s="15">
        <v>0</v>
      </c>
    </row>
    <row r="16" spans="1:6" ht="27.6" x14ac:dyDescent="0.25">
      <c r="A16" s="193" t="s">
        <v>203</v>
      </c>
      <c r="B16" s="54" t="s">
        <v>204</v>
      </c>
      <c r="C16" s="188" t="s">
        <v>205</v>
      </c>
      <c r="D16" s="47"/>
      <c r="E16" s="47">
        <f>E8+E9+E10+E11+E12-E13-E14-E15</f>
        <v>12683859</v>
      </c>
      <c r="F16" s="47">
        <f>F8+F9+F10+F11+F12-F13-F14-F15</f>
        <v>32866599</v>
      </c>
    </row>
    <row r="17" spans="1:6" x14ac:dyDescent="0.25">
      <c r="A17" s="164"/>
      <c r="B17" s="43" t="s">
        <v>206</v>
      </c>
      <c r="C17" s="163"/>
      <c r="D17" s="15"/>
      <c r="E17" s="15"/>
      <c r="F17" s="15"/>
    </row>
    <row r="18" spans="1:6" ht="27.6" x14ac:dyDescent="0.25">
      <c r="A18" s="163" t="s">
        <v>207</v>
      </c>
      <c r="B18" s="16" t="s">
        <v>208</v>
      </c>
      <c r="C18" s="163"/>
      <c r="D18" s="15"/>
      <c r="E18" s="15">
        <v>685000</v>
      </c>
      <c r="F18" s="15">
        <v>1767600</v>
      </c>
    </row>
    <row r="19" spans="1:6" x14ac:dyDescent="0.25">
      <c r="A19" s="163" t="s">
        <v>209</v>
      </c>
      <c r="B19" s="8" t="s">
        <v>210</v>
      </c>
      <c r="C19" s="163"/>
      <c r="D19" s="15"/>
      <c r="E19" s="15">
        <v>0</v>
      </c>
      <c r="F19" s="15">
        <v>180000</v>
      </c>
    </row>
    <row r="20" spans="1:6" ht="27.6" x14ac:dyDescent="0.25">
      <c r="A20" s="163" t="s">
        <v>211</v>
      </c>
      <c r="B20" s="16" t="s">
        <v>212</v>
      </c>
      <c r="C20" s="163"/>
      <c r="D20" s="15"/>
      <c r="E20" s="15">
        <v>0</v>
      </c>
      <c r="F20" s="15">
        <v>0</v>
      </c>
    </row>
    <row r="21" spans="1:6" x14ac:dyDescent="0.25">
      <c r="A21" s="163" t="s">
        <v>213</v>
      </c>
      <c r="B21" s="15" t="s">
        <v>214</v>
      </c>
      <c r="C21" s="163"/>
      <c r="D21" s="15"/>
      <c r="E21" s="15">
        <v>0</v>
      </c>
      <c r="F21" s="15">
        <v>0</v>
      </c>
    </row>
    <row r="22" spans="1:6" ht="27.6" x14ac:dyDescent="0.25">
      <c r="A22" s="193" t="s">
        <v>215</v>
      </c>
      <c r="B22" s="46" t="s">
        <v>1133</v>
      </c>
      <c r="C22" s="188" t="s">
        <v>216</v>
      </c>
      <c r="D22" s="47"/>
      <c r="E22" s="47">
        <f>-E18-E19+E20+E21</f>
        <v>-685000</v>
      </c>
      <c r="F22" s="47">
        <f>-F18-F19+F20+F21</f>
        <v>-1947600</v>
      </c>
    </row>
    <row r="23" spans="1:6" ht="27.6" x14ac:dyDescent="0.25">
      <c r="A23" s="163"/>
      <c r="B23" s="233" t="s">
        <v>217</v>
      </c>
      <c r="C23" s="163"/>
      <c r="D23" s="15"/>
      <c r="E23" s="15"/>
      <c r="F23" s="15"/>
    </row>
    <row r="24" spans="1:6" x14ac:dyDescent="0.25">
      <c r="A24" s="163" t="s">
        <v>218</v>
      </c>
      <c r="B24" s="15" t="s">
        <v>219</v>
      </c>
      <c r="C24" s="163"/>
      <c r="D24" s="15"/>
      <c r="E24" s="15">
        <v>0</v>
      </c>
      <c r="F24" s="15">
        <v>0</v>
      </c>
    </row>
    <row r="25" spans="1:6" x14ac:dyDescent="0.25">
      <c r="A25" s="163" t="s">
        <v>220</v>
      </c>
      <c r="B25" s="15" t="s">
        <v>221</v>
      </c>
      <c r="C25" s="163"/>
      <c r="D25" s="15"/>
      <c r="E25" s="15">
        <v>0</v>
      </c>
      <c r="F25" s="15">
        <v>0</v>
      </c>
    </row>
    <row r="26" spans="1:6" x14ac:dyDescent="0.25">
      <c r="A26" s="163" t="s">
        <v>222</v>
      </c>
      <c r="B26" s="15" t="s">
        <v>223</v>
      </c>
      <c r="C26" s="163"/>
      <c r="D26" s="15"/>
      <c r="E26" s="15">
        <v>0</v>
      </c>
      <c r="F26" s="15">
        <v>0</v>
      </c>
    </row>
    <row r="27" spans="1:6" ht="27.6" x14ac:dyDescent="0.25">
      <c r="A27" s="193" t="s">
        <v>224</v>
      </c>
      <c r="B27" s="191" t="s">
        <v>225</v>
      </c>
      <c r="C27" s="235" t="s">
        <v>226</v>
      </c>
      <c r="D27" s="18"/>
      <c r="E27" s="18">
        <f>E24+E25-E26</f>
        <v>0</v>
      </c>
      <c r="F27" s="18">
        <f>F24+F25-F26</f>
        <v>0</v>
      </c>
    </row>
    <row r="28" spans="1:6" x14ac:dyDescent="0.25">
      <c r="A28" s="163"/>
      <c r="B28" s="15" t="s">
        <v>227</v>
      </c>
      <c r="C28" s="163"/>
      <c r="D28" s="15"/>
      <c r="E28" s="15"/>
      <c r="F28" s="15"/>
    </row>
    <row r="29" spans="1:6" ht="27.6" x14ac:dyDescent="0.25">
      <c r="A29" s="163" t="s">
        <v>228</v>
      </c>
      <c r="B29" s="16" t="s">
        <v>229</v>
      </c>
      <c r="C29" s="163"/>
      <c r="D29" s="15"/>
      <c r="E29" s="15">
        <v>0</v>
      </c>
      <c r="F29" s="15">
        <v>0</v>
      </c>
    </row>
    <row r="30" spans="1:6" x14ac:dyDescent="0.25">
      <c r="A30" s="163" t="s">
        <v>230</v>
      </c>
      <c r="B30" s="15" t="s">
        <v>231</v>
      </c>
      <c r="C30" s="163"/>
      <c r="D30" s="15"/>
      <c r="E30" s="15">
        <v>0</v>
      </c>
      <c r="F30" s="15">
        <v>0</v>
      </c>
    </row>
    <row r="31" spans="1:6" x14ac:dyDescent="0.25">
      <c r="A31" s="163" t="s">
        <v>232</v>
      </c>
      <c r="B31" s="50" t="s">
        <v>233</v>
      </c>
      <c r="C31" s="193" t="s">
        <v>234</v>
      </c>
      <c r="D31" s="15"/>
      <c r="E31" s="15">
        <f>E29-E30</f>
        <v>0</v>
      </c>
      <c r="F31" s="15">
        <f>F29-F30</f>
        <v>0</v>
      </c>
    </row>
    <row r="32" spans="1:6" x14ac:dyDescent="0.25">
      <c r="A32" s="163"/>
      <c r="B32" s="54" t="s">
        <v>235</v>
      </c>
      <c r="C32" s="178"/>
      <c r="D32" s="47"/>
      <c r="E32" s="47">
        <f>E27+E31</f>
        <v>0</v>
      </c>
      <c r="F32" s="47">
        <f>F27+F31</f>
        <v>0</v>
      </c>
    </row>
    <row r="33" spans="1:6" ht="27.6" x14ac:dyDescent="0.25">
      <c r="A33" s="163" t="s">
        <v>236</v>
      </c>
      <c r="B33" s="179" t="s">
        <v>237</v>
      </c>
      <c r="C33" s="236" t="s">
        <v>238</v>
      </c>
      <c r="D33" s="176"/>
      <c r="E33" s="176">
        <f>E16+E22+E27+E31</f>
        <v>11998859</v>
      </c>
      <c r="F33" s="176">
        <f>F16+F22+F27+F31</f>
        <v>30918999</v>
      </c>
    </row>
    <row r="34" spans="1:6" x14ac:dyDescent="0.25">
      <c r="A34" s="163"/>
      <c r="B34" s="15"/>
      <c r="C34" s="163"/>
      <c r="D34" s="15"/>
      <c r="E34" s="15"/>
      <c r="F34" s="15"/>
    </row>
    <row r="35" spans="1:6" ht="27.6" x14ac:dyDescent="0.25">
      <c r="A35" s="193" t="s">
        <v>239</v>
      </c>
      <c r="B35" s="174" t="s">
        <v>1237</v>
      </c>
      <c r="C35" s="236" t="s">
        <v>240</v>
      </c>
      <c r="D35" s="176"/>
      <c r="E35" s="176">
        <f>E33+E5</f>
        <v>98375375</v>
      </c>
      <c r="F35" s="176">
        <f>F33+F5</f>
        <v>86376516</v>
      </c>
    </row>
    <row r="38" spans="1:6" x14ac:dyDescent="0.25">
      <c r="A38" s="492" t="s">
        <v>241</v>
      </c>
      <c r="B38" s="492"/>
    </row>
  </sheetData>
  <mergeCells count="5">
    <mergeCell ref="B4:C4"/>
    <mergeCell ref="A38:B38"/>
    <mergeCell ref="C5:C6"/>
    <mergeCell ref="E5:E6"/>
    <mergeCell ref="F5:F6"/>
  </mergeCells>
  <pageMargins left="0.7" right="0.7" top="0.75" bottom="0.75" header="0.3" footer="0.3"/>
  <pageSetup paperSize="9" scale="6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workbookViewId="0">
      <selection activeCell="F10" sqref="F10"/>
    </sheetView>
  </sheetViews>
  <sheetFormatPr baseColWidth="10" defaultColWidth="11.44140625" defaultRowHeight="13.8" x14ac:dyDescent="0.25"/>
  <cols>
    <col min="1" max="1" width="11.44140625" style="5"/>
    <col min="2" max="2" width="89.44140625" style="5" customWidth="1"/>
    <col min="3" max="3" width="3.77734375" style="5" customWidth="1"/>
    <col min="4" max="4" width="4.88671875" style="5" customWidth="1"/>
    <col min="5" max="16384" width="11.44140625" style="5"/>
  </cols>
  <sheetData>
    <row r="1" spans="1:4" x14ac:dyDescent="0.25">
      <c r="B1" s="76"/>
    </row>
    <row r="2" spans="1:4" x14ac:dyDescent="0.25">
      <c r="B2" s="76"/>
    </row>
    <row r="3" spans="1:4" x14ac:dyDescent="0.25">
      <c r="B3" s="76"/>
    </row>
    <row r="4" spans="1:4" x14ac:dyDescent="0.25">
      <c r="A4" s="190" t="s">
        <v>242</v>
      </c>
      <c r="B4" s="182" t="s">
        <v>243</v>
      </c>
      <c r="C4" s="199" t="s">
        <v>187</v>
      </c>
      <c r="D4" s="199" t="s">
        <v>244</v>
      </c>
    </row>
    <row r="5" spans="1:4" x14ac:dyDescent="0.25">
      <c r="A5" s="497" t="s">
        <v>245</v>
      </c>
      <c r="B5" s="497"/>
      <c r="C5" s="497"/>
      <c r="D5" s="497"/>
    </row>
    <row r="6" spans="1:4" x14ac:dyDescent="0.25">
      <c r="A6" s="43" t="s">
        <v>246</v>
      </c>
      <c r="B6" s="237" t="s">
        <v>1134</v>
      </c>
      <c r="C6" s="43"/>
      <c r="D6" s="43"/>
    </row>
    <row r="7" spans="1:4" x14ac:dyDescent="0.25">
      <c r="A7" s="43" t="s">
        <v>247</v>
      </c>
      <c r="B7" s="238" t="s">
        <v>248</v>
      </c>
      <c r="C7" s="43"/>
      <c r="D7" s="43"/>
    </row>
    <row r="8" spans="1:4" x14ac:dyDescent="0.25">
      <c r="A8" s="43" t="s">
        <v>249</v>
      </c>
      <c r="B8" s="238" t="s">
        <v>250</v>
      </c>
      <c r="C8" s="43"/>
      <c r="D8" s="43"/>
    </row>
    <row r="9" spans="1:4" x14ac:dyDescent="0.25">
      <c r="A9" s="43" t="s">
        <v>251</v>
      </c>
      <c r="B9" s="238" t="s">
        <v>252</v>
      </c>
      <c r="C9" s="43"/>
      <c r="D9" s="43"/>
    </row>
    <row r="10" spans="1:4" x14ac:dyDescent="0.25">
      <c r="A10" s="498" t="s">
        <v>253</v>
      </c>
      <c r="B10" s="499"/>
      <c r="C10" s="499"/>
      <c r="D10" s="500"/>
    </row>
    <row r="11" spans="1:4" x14ac:dyDescent="0.25">
      <c r="A11" s="43" t="s">
        <v>254</v>
      </c>
      <c r="B11" s="238" t="s">
        <v>255</v>
      </c>
      <c r="C11" s="43"/>
      <c r="D11" s="43"/>
    </row>
    <row r="12" spans="1:4" x14ac:dyDescent="0.25">
      <c r="A12" s="43" t="s">
        <v>256</v>
      </c>
      <c r="B12" s="238" t="s">
        <v>257</v>
      </c>
      <c r="C12" s="43"/>
      <c r="D12" s="43"/>
    </row>
    <row r="13" spans="1:4" x14ac:dyDescent="0.25">
      <c r="A13" s="43" t="s">
        <v>258</v>
      </c>
      <c r="B13" s="238" t="s">
        <v>259</v>
      </c>
      <c r="C13" s="43"/>
      <c r="D13" s="43"/>
    </row>
    <row r="14" spans="1:4" ht="27.6" x14ac:dyDescent="0.25">
      <c r="A14" s="43" t="s">
        <v>260</v>
      </c>
      <c r="B14" s="238" t="s">
        <v>261</v>
      </c>
      <c r="C14" s="43"/>
      <c r="D14" s="43"/>
    </row>
    <row r="15" spans="1:4" x14ac:dyDescent="0.25">
      <c r="A15" s="43" t="s">
        <v>262</v>
      </c>
      <c r="B15" s="238" t="s">
        <v>263</v>
      </c>
      <c r="C15" s="43"/>
      <c r="D15" s="43"/>
    </row>
    <row r="16" spans="1:4" x14ac:dyDescent="0.25">
      <c r="A16" s="43" t="s">
        <v>264</v>
      </c>
      <c r="B16" s="238" t="s">
        <v>265</v>
      </c>
      <c r="C16" s="43"/>
      <c r="D16" s="43"/>
    </row>
    <row r="17" spans="1:4" x14ac:dyDescent="0.25">
      <c r="A17" s="43" t="s">
        <v>266</v>
      </c>
      <c r="B17" s="238" t="s">
        <v>267</v>
      </c>
      <c r="C17" s="43"/>
      <c r="D17" s="43"/>
    </row>
    <row r="18" spans="1:4" x14ac:dyDescent="0.25">
      <c r="A18" s="43" t="s">
        <v>268</v>
      </c>
      <c r="B18" s="238" t="s">
        <v>269</v>
      </c>
      <c r="C18" s="43"/>
      <c r="D18" s="43"/>
    </row>
    <row r="19" spans="1:4" x14ac:dyDescent="0.25">
      <c r="A19" s="43" t="s">
        <v>270</v>
      </c>
      <c r="B19" s="238" t="s">
        <v>271</v>
      </c>
      <c r="C19" s="43"/>
      <c r="D19" s="43"/>
    </row>
    <row r="20" spans="1:4" x14ac:dyDescent="0.25">
      <c r="A20" s="43" t="s">
        <v>272</v>
      </c>
      <c r="B20" s="238" t="s">
        <v>273</v>
      </c>
      <c r="C20" s="43"/>
      <c r="D20" s="43"/>
    </row>
    <row r="21" spans="1:4" x14ac:dyDescent="0.25">
      <c r="A21" s="43" t="s">
        <v>274</v>
      </c>
      <c r="B21" s="238" t="s">
        <v>94</v>
      </c>
      <c r="C21" s="43"/>
      <c r="D21" s="43"/>
    </row>
    <row r="22" spans="1:4" x14ac:dyDescent="0.25">
      <c r="A22" s="43" t="s">
        <v>275</v>
      </c>
      <c r="B22" s="238" t="s">
        <v>276</v>
      </c>
      <c r="C22" s="43"/>
      <c r="D22" s="43"/>
    </row>
    <row r="23" spans="1:4" x14ac:dyDescent="0.25">
      <c r="A23" s="43" t="s">
        <v>277</v>
      </c>
      <c r="B23" s="238" t="s">
        <v>107</v>
      </c>
      <c r="C23" s="43"/>
      <c r="D23" s="43"/>
    </row>
    <row r="24" spans="1:4" x14ac:dyDescent="0.25">
      <c r="A24" s="43" t="s">
        <v>278</v>
      </c>
      <c r="B24" s="238" t="s">
        <v>279</v>
      </c>
      <c r="C24" s="43"/>
      <c r="D24" s="43"/>
    </row>
    <row r="25" spans="1:4" x14ac:dyDescent="0.25">
      <c r="A25" s="43" t="s">
        <v>280</v>
      </c>
      <c r="B25" s="238" t="s">
        <v>117</v>
      </c>
      <c r="C25" s="43"/>
      <c r="D25" s="43"/>
    </row>
    <row r="26" spans="1:4" x14ac:dyDescent="0.25">
      <c r="A26" s="43" t="s">
        <v>281</v>
      </c>
      <c r="B26" s="238" t="s">
        <v>282</v>
      </c>
      <c r="C26" s="43"/>
      <c r="D26" s="43"/>
    </row>
    <row r="27" spans="1:4" x14ac:dyDescent="0.25">
      <c r="A27" s="43" t="s">
        <v>283</v>
      </c>
      <c r="B27" s="238" t="s">
        <v>284</v>
      </c>
      <c r="C27" s="43"/>
      <c r="D27" s="43"/>
    </row>
    <row r="28" spans="1:4" x14ac:dyDescent="0.25">
      <c r="A28" s="43" t="s">
        <v>285</v>
      </c>
      <c r="B28" s="238" t="s">
        <v>286</v>
      </c>
      <c r="C28" s="43"/>
      <c r="D28" s="43"/>
    </row>
    <row r="29" spans="1:4" x14ac:dyDescent="0.25">
      <c r="A29" s="43" t="s">
        <v>287</v>
      </c>
      <c r="B29" s="238" t="s">
        <v>34</v>
      </c>
      <c r="C29" s="43"/>
      <c r="D29" s="43"/>
    </row>
    <row r="30" spans="1:4" x14ac:dyDescent="0.25">
      <c r="A30" s="43" t="s">
        <v>288</v>
      </c>
      <c r="B30" s="238" t="s">
        <v>289</v>
      </c>
      <c r="C30" s="43"/>
      <c r="D30" s="43"/>
    </row>
    <row r="31" spans="1:4" x14ac:dyDescent="0.25">
      <c r="A31" s="43" t="s">
        <v>290</v>
      </c>
      <c r="B31" s="238" t="s">
        <v>291</v>
      </c>
      <c r="C31" s="43"/>
      <c r="D31" s="43"/>
    </row>
    <row r="32" spans="1:4" x14ac:dyDescent="0.25">
      <c r="A32" s="43" t="s">
        <v>292</v>
      </c>
      <c r="B32" s="238" t="s">
        <v>293</v>
      </c>
      <c r="C32" s="43"/>
      <c r="D32" s="43"/>
    </row>
    <row r="33" spans="1:4" x14ac:dyDescent="0.25">
      <c r="A33" s="43" t="s">
        <v>294</v>
      </c>
      <c r="B33" s="238" t="s">
        <v>295</v>
      </c>
      <c r="C33" s="43"/>
      <c r="D33" s="43"/>
    </row>
    <row r="34" spans="1:4" x14ac:dyDescent="0.25">
      <c r="A34" s="43" t="s">
        <v>296</v>
      </c>
      <c r="B34" s="238" t="s">
        <v>297</v>
      </c>
      <c r="C34" s="43"/>
      <c r="D34" s="43"/>
    </row>
    <row r="35" spans="1:4" x14ac:dyDescent="0.25">
      <c r="A35" s="43" t="s">
        <v>298</v>
      </c>
      <c r="B35" s="238" t="s">
        <v>299</v>
      </c>
      <c r="C35" s="43"/>
      <c r="D35" s="43"/>
    </row>
    <row r="36" spans="1:4" x14ac:dyDescent="0.25">
      <c r="A36" s="43" t="s">
        <v>300</v>
      </c>
      <c r="B36" s="238" t="s">
        <v>301</v>
      </c>
      <c r="C36" s="43"/>
      <c r="D36" s="43"/>
    </row>
    <row r="37" spans="1:4" x14ac:dyDescent="0.25">
      <c r="A37" s="43" t="s">
        <v>302</v>
      </c>
      <c r="B37" s="238" t="s">
        <v>303</v>
      </c>
      <c r="C37" s="43"/>
      <c r="D37" s="43"/>
    </row>
    <row r="38" spans="1:4" x14ac:dyDescent="0.25">
      <c r="A38" s="501" t="s">
        <v>304</v>
      </c>
      <c r="B38" s="502"/>
      <c r="C38" s="502"/>
      <c r="D38" s="503"/>
    </row>
    <row r="39" spans="1:4" x14ac:dyDescent="0.25">
      <c r="A39" s="43" t="s">
        <v>305</v>
      </c>
      <c r="B39" s="238" t="s">
        <v>306</v>
      </c>
      <c r="C39" s="43"/>
      <c r="D39" s="43"/>
    </row>
    <row r="40" spans="1:4" x14ac:dyDescent="0.25">
      <c r="A40" s="43" t="s">
        <v>307</v>
      </c>
      <c r="B40" s="238" t="s">
        <v>308</v>
      </c>
      <c r="C40" s="43"/>
      <c r="D40" s="43"/>
    </row>
    <row r="41" spans="1:4" x14ac:dyDescent="0.25">
      <c r="A41" s="43" t="s">
        <v>309</v>
      </c>
      <c r="B41" s="238" t="s">
        <v>163</v>
      </c>
      <c r="C41" s="43"/>
      <c r="D41" s="43"/>
    </row>
    <row r="42" spans="1:4" x14ac:dyDescent="0.25">
      <c r="A42" s="43" t="s">
        <v>310</v>
      </c>
      <c r="B42" s="238" t="s">
        <v>311</v>
      </c>
      <c r="C42" s="43"/>
      <c r="D42" s="43"/>
    </row>
    <row r="43" spans="1:4" x14ac:dyDescent="0.25">
      <c r="A43" s="43" t="s">
        <v>312</v>
      </c>
      <c r="B43" s="238" t="s">
        <v>167</v>
      </c>
      <c r="C43" s="43"/>
      <c r="D43" s="43"/>
    </row>
    <row r="44" spans="1:4" x14ac:dyDescent="0.25">
      <c r="A44" s="43" t="s">
        <v>313</v>
      </c>
      <c r="B44" s="238" t="s">
        <v>169</v>
      </c>
      <c r="C44" s="43"/>
      <c r="D44" s="43"/>
    </row>
    <row r="45" spans="1:4" x14ac:dyDescent="0.25">
      <c r="A45" s="43" t="s">
        <v>314</v>
      </c>
      <c r="B45" s="238" t="s">
        <v>171</v>
      </c>
      <c r="C45" s="43"/>
      <c r="D45" s="43"/>
    </row>
    <row r="46" spans="1:4" x14ac:dyDescent="0.25">
      <c r="A46" s="43" t="s">
        <v>315</v>
      </c>
      <c r="B46" s="238" t="s">
        <v>316</v>
      </c>
      <c r="C46" s="43"/>
      <c r="D46" s="43"/>
    </row>
    <row r="47" spans="1:4" x14ac:dyDescent="0.25">
      <c r="A47" s="43" t="s">
        <v>317</v>
      </c>
      <c r="B47" s="238" t="s">
        <v>318</v>
      </c>
      <c r="C47" s="43"/>
      <c r="D47" s="43"/>
    </row>
    <row r="48" spans="1:4" x14ac:dyDescent="0.25">
      <c r="A48" s="43" t="s">
        <v>319</v>
      </c>
      <c r="B48" s="238" t="s">
        <v>320</v>
      </c>
      <c r="C48" s="43"/>
      <c r="D48" s="43"/>
    </row>
    <row r="49" spans="1:4" x14ac:dyDescent="0.25">
      <c r="A49" s="43" t="s">
        <v>321</v>
      </c>
      <c r="B49" s="238" t="s">
        <v>322</v>
      </c>
      <c r="C49" s="43"/>
      <c r="D49" s="43"/>
    </row>
    <row r="50" spans="1:4" x14ac:dyDescent="0.25">
      <c r="A50" s="504" t="s">
        <v>323</v>
      </c>
      <c r="B50" s="505"/>
      <c r="C50" s="505"/>
      <c r="D50" s="506"/>
    </row>
    <row r="51" spans="1:4" x14ac:dyDescent="0.25">
      <c r="A51" s="43" t="s">
        <v>324</v>
      </c>
      <c r="B51" s="238" t="s">
        <v>325</v>
      </c>
      <c r="C51" s="43"/>
      <c r="D51" s="43"/>
    </row>
    <row r="52" spans="1:4" x14ac:dyDescent="0.25">
      <c r="A52" s="43" t="s">
        <v>326</v>
      </c>
      <c r="B52" s="238" t="s">
        <v>327</v>
      </c>
      <c r="C52" s="43"/>
      <c r="D52" s="43"/>
    </row>
    <row r="53" spans="1:4" x14ac:dyDescent="0.25">
      <c r="A53" s="239" t="s">
        <v>328</v>
      </c>
      <c r="B53" s="234" t="s">
        <v>329</v>
      </c>
      <c r="C53" s="239"/>
      <c r="D53" s="239"/>
    </row>
    <row r="54" spans="1:4" x14ac:dyDescent="0.25">
      <c r="B54" s="76"/>
    </row>
    <row r="55" spans="1:4" x14ac:dyDescent="0.25">
      <c r="A55" s="492" t="s">
        <v>330</v>
      </c>
      <c r="B55" s="492"/>
      <c r="C55" s="492"/>
    </row>
    <row r="56" spans="1:4" x14ac:dyDescent="0.25">
      <c r="A56" s="492" t="s">
        <v>331</v>
      </c>
      <c r="B56" s="492"/>
      <c r="C56" s="492"/>
    </row>
    <row r="57" spans="1:4" x14ac:dyDescent="0.25">
      <c r="A57" s="492" t="s">
        <v>332</v>
      </c>
      <c r="B57" s="492"/>
      <c r="C57" s="492"/>
    </row>
    <row r="58" spans="1:4" x14ac:dyDescent="0.25">
      <c r="A58" s="492" t="s">
        <v>333</v>
      </c>
      <c r="B58" s="492"/>
      <c r="C58" s="492"/>
    </row>
    <row r="59" spans="1:4" x14ac:dyDescent="0.25">
      <c r="A59" s="492" t="s">
        <v>334</v>
      </c>
      <c r="B59" s="492"/>
      <c r="C59" s="492"/>
    </row>
    <row r="60" spans="1:4" x14ac:dyDescent="0.25">
      <c r="A60" s="492"/>
      <c r="B60" s="492"/>
      <c r="C60" s="492"/>
    </row>
    <row r="61" spans="1:4" x14ac:dyDescent="0.25">
      <c r="A61" s="492" t="s">
        <v>335</v>
      </c>
      <c r="B61" s="492"/>
      <c r="C61" s="492"/>
    </row>
    <row r="62" spans="1:4" x14ac:dyDescent="0.25">
      <c r="A62" s="492" t="s">
        <v>336</v>
      </c>
      <c r="B62" s="492"/>
      <c r="C62" s="492"/>
    </row>
    <row r="63" spans="1:4" x14ac:dyDescent="0.25">
      <c r="B63" s="76"/>
    </row>
  </sheetData>
  <mergeCells count="12">
    <mergeCell ref="A62:C62"/>
    <mergeCell ref="A5:D5"/>
    <mergeCell ref="A10:D10"/>
    <mergeCell ref="A38:D38"/>
    <mergeCell ref="A50:D50"/>
    <mergeCell ref="A55:C55"/>
    <mergeCell ref="A56:C56"/>
    <mergeCell ref="A57:C57"/>
    <mergeCell ref="A58:C58"/>
    <mergeCell ref="A59:C59"/>
    <mergeCell ref="A60:C60"/>
    <mergeCell ref="A61:C61"/>
  </mergeCells>
  <pageMargins left="0.7" right="0.7" top="0.75" bottom="0.75" header="0.3" footer="0.3"/>
  <pageSetup paperSize="9" scale="7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48"/>
  <sheetViews>
    <sheetView topLeftCell="A13" workbookViewId="0">
      <selection activeCell="L25" sqref="L25"/>
    </sheetView>
  </sheetViews>
  <sheetFormatPr baseColWidth="10" defaultColWidth="11.44140625" defaultRowHeight="13.8" x14ac:dyDescent="0.25"/>
  <cols>
    <col min="1" max="1" width="45.21875" style="5" bestFit="1" customWidth="1"/>
    <col min="2" max="3" width="11.44140625" style="5"/>
    <col min="4" max="4" width="12.88671875" style="5" bestFit="1" customWidth="1"/>
    <col min="5" max="5" width="14.21875" style="5" bestFit="1" customWidth="1"/>
    <col min="6" max="6" width="12.5546875" style="5" customWidth="1"/>
    <col min="7" max="16384" width="11.44140625" style="5"/>
  </cols>
  <sheetData>
    <row r="6" spans="1:6" x14ac:dyDescent="0.25">
      <c r="A6" s="508" t="s">
        <v>337</v>
      </c>
      <c r="B6" s="508" t="s">
        <v>2</v>
      </c>
      <c r="C6" s="519" t="s">
        <v>338</v>
      </c>
      <c r="D6" s="508" t="s">
        <v>339</v>
      </c>
      <c r="E6" s="508"/>
      <c r="F6" s="508"/>
    </row>
    <row r="7" spans="1:6" x14ac:dyDescent="0.25">
      <c r="A7" s="508"/>
      <c r="B7" s="508"/>
      <c r="C7" s="519"/>
      <c r="D7" s="508" t="s">
        <v>340</v>
      </c>
      <c r="E7" s="508" t="s">
        <v>341</v>
      </c>
      <c r="F7" s="199" t="s">
        <v>342</v>
      </c>
    </row>
    <row r="8" spans="1:6" x14ac:dyDescent="0.25">
      <c r="A8" s="508"/>
      <c r="B8" s="508"/>
      <c r="C8" s="519"/>
      <c r="D8" s="508"/>
      <c r="E8" s="508"/>
      <c r="F8" s="199" t="s">
        <v>343</v>
      </c>
    </row>
    <row r="9" spans="1:6" x14ac:dyDescent="0.25">
      <c r="A9" s="39" t="s">
        <v>344</v>
      </c>
      <c r="B9" s="163" t="s">
        <v>76</v>
      </c>
      <c r="C9" s="15"/>
      <c r="D9" s="15"/>
      <c r="E9" s="15"/>
      <c r="F9" s="15"/>
    </row>
    <row r="10" spans="1:6" x14ac:dyDescent="0.25">
      <c r="A10" s="15" t="s">
        <v>345</v>
      </c>
      <c r="B10" s="163"/>
      <c r="C10" s="15">
        <v>0</v>
      </c>
      <c r="D10" s="15"/>
      <c r="E10" s="15"/>
      <c r="F10" s="15"/>
    </row>
    <row r="11" spans="1:6" x14ac:dyDescent="0.25">
      <c r="A11" s="15" t="s">
        <v>346</v>
      </c>
      <c r="B11" s="163"/>
      <c r="C11" s="15">
        <v>0</v>
      </c>
      <c r="D11" s="15"/>
      <c r="E11" s="15"/>
      <c r="F11" s="15"/>
    </row>
    <row r="12" spans="1:6" x14ac:dyDescent="0.25">
      <c r="A12" s="15" t="s">
        <v>347</v>
      </c>
      <c r="B12" s="163"/>
      <c r="C12" s="15">
        <v>32940</v>
      </c>
      <c r="D12" s="15"/>
      <c r="E12" s="15"/>
      <c r="F12" s="15"/>
    </row>
    <row r="13" spans="1:6" x14ac:dyDescent="0.25">
      <c r="A13" s="17" t="s">
        <v>348</v>
      </c>
      <c r="B13" s="192"/>
      <c r="C13" s="18">
        <f>SUM(C9:C12)</f>
        <v>32940</v>
      </c>
      <c r="D13" s="19">
        <f t="shared" ref="D13:F13" si="0">SUM(D9:D12)</f>
        <v>0</v>
      </c>
      <c r="E13" s="19">
        <f t="shared" si="0"/>
        <v>0</v>
      </c>
      <c r="F13" s="19">
        <f t="shared" si="0"/>
        <v>0</v>
      </c>
    </row>
    <row r="14" spans="1:6" x14ac:dyDescent="0.25">
      <c r="A14" s="39" t="s">
        <v>349</v>
      </c>
      <c r="B14" s="163" t="s">
        <v>76</v>
      </c>
      <c r="C14" s="15">
        <v>0</v>
      </c>
      <c r="D14" s="15"/>
      <c r="E14" s="15"/>
      <c r="F14" s="15"/>
    </row>
    <row r="15" spans="1:6" x14ac:dyDescent="0.25">
      <c r="A15" s="15" t="s">
        <v>350</v>
      </c>
      <c r="B15" s="163"/>
      <c r="C15" s="15">
        <v>0</v>
      </c>
      <c r="D15" s="15"/>
      <c r="E15" s="15"/>
      <c r="F15" s="15"/>
    </row>
    <row r="16" spans="1:6" x14ac:dyDescent="0.25">
      <c r="A16" s="15" t="s">
        <v>351</v>
      </c>
      <c r="B16" s="163"/>
      <c r="C16" s="15">
        <v>0</v>
      </c>
      <c r="D16" s="15"/>
      <c r="E16" s="15"/>
      <c r="F16" s="15"/>
    </row>
    <row r="17" spans="1:6" x14ac:dyDescent="0.25">
      <c r="A17" s="15" t="s">
        <v>352</v>
      </c>
      <c r="B17" s="163"/>
      <c r="C17" s="15"/>
      <c r="D17" s="15"/>
      <c r="E17" s="15"/>
      <c r="F17" s="15"/>
    </row>
    <row r="18" spans="1:6" x14ac:dyDescent="0.25">
      <c r="A18" s="15" t="s">
        <v>353</v>
      </c>
      <c r="B18" s="163"/>
      <c r="C18" s="15">
        <v>2875750</v>
      </c>
      <c r="D18" s="15"/>
      <c r="E18" s="15"/>
      <c r="F18" s="15"/>
    </row>
    <row r="19" spans="1:6" x14ac:dyDescent="0.25">
      <c r="A19" s="34" t="s">
        <v>354</v>
      </c>
      <c r="B19" s="192"/>
      <c r="C19" s="18">
        <v>0</v>
      </c>
      <c r="D19" s="18">
        <f t="shared" ref="D19:F19" si="1">SUM(D14:D18)</f>
        <v>0</v>
      </c>
      <c r="E19" s="18">
        <f t="shared" si="1"/>
        <v>0</v>
      </c>
      <c r="F19" s="18">
        <f t="shared" si="1"/>
        <v>0</v>
      </c>
    </row>
    <row r="20" spans="1:6" x14ac:dyDescent="0.25">
      <c r="A20" s="39" t="s">
        <v>355</v>
      </c>
      <c r="B20" s="163"/>
      <c r="C20" s="15">
        <v>662000</v>
      </c>
      <c r="D20" s="15"/>
      <c r="E20" s="15"/>
      <c r="F20" s="15"/>
    </row>
    <row r="21" spans="1:6" x14ac:dyDescent="0.25">
      <c r="A21" s="15" t="s">
        <v>356</v>
      </c>
      <c r="B21" s="163">
        <v>19</v>
      </c>
      <c r="C21" s="15">
        <v>0</v>
      </c>
      <c r="D21" s="15"/>
      <c r="E21" s="15"/>
      <c r="F21" s="15"/>
    </row>
    <row r="22" spans="1:6" x14ac:dyDescent="0.25">
      <c r="A22" s="15" t="s">
        <v>357</v>
      </c>
      <c r="B22" s="163">
        <v>9</v>
      </c>
      <c r="C22" s="15">
        <v>13500</v>
      </c>
      <c r="D22" s="15"/>
      <c r="E22" s="15"/>
      <c r="F22" s="15"/>
    </row>
    <row r="23" spans="1:6" x14ac:dyDescent="0.25">
      <c r="A23" s="15" t="s">
        <v>358</v>
      </c>
      <c r="B23" s="163">
        <v>20</v>
      </c>
      <c r="C23" s="15">
        <v>0</v>
      </c>
      <c r="D23" s="15"/>
      <c r="E23" s="15"/>
      <c r="F23" s="15"/>
    </row>
    <row r="24" spans="1:6" x14ac:dyDescent="0.25">
      <c r="A24" s="15" t="s">
        <v>359</v>
      </c>
      <c r="B24" s="163">
        <v>20</v>
      </c>
      <c r="C24" s="15">
        <v>0</v>
      </c>
      <c r="D24" s="15"/>
      <c r="E24" s="15"/>
      <c r="F24" s="15"/>
    </row>
    <row r="25" spans="1:6" x14ac:dyDescent="0.25">
      <c r="A25" s="15" t="s">
        <v>360</v>
      </c>
      <c r="B25" s="163">
        <v>20</v>
      </c>
      <c r="C25" s="15">
        <v>19440</v>
      </c>
      <c r="D25" s="15"/>
      <c r="E25" s="15"/>
      <c r="F25" s="15"/>
    </row>
    <row r="26" spans="1:6" x14ac:dyDescent="0.25">
      <c r="A26" s="15" t="s">
        <v>361</v>
      </c>
      <c r="B26" s="163">
        <v>21</v>
      </c>
      <c r="C26" s="15"/>
      <c r="D26" s="15"/>
      <c r="E26" s="15"/>
      <c r="F26" s="15"/>
    </row>
    <row r="27" spans="1:6" ht="27.6" x14ac:dyDescent="0.25">
      <c r="A27" s="16" t="s">
        <v>362</v>
      </c>
      <c r="B27" s="163">
        <v>21</v>
      </c>
      <c r="C27" s="15"/>
      <c r="D27" s="15"/>
      <c r="E27" s="15"/>
      <c r="F27" s="15"/>
    </row>
    <row r="28" spans="1:6" x14ac:dyDescent="0.25">
      <c r="A28" s="15" t="s">
        <v>363</v>
      </c>
      <c r="B28" s="163">
        <v>21</v>
      </c>
      <c r="C28" s="15"/>
      <c r="D28" s="15"/>
      <c r="E28" s="15"/>
      <c r="F28" s="15"/>
    </row>
    <row r="29" spans="1:6" x14ac:dyDescent="0.25">
      <c r="A29" s="17" t="s">
        <v>364</v>
      </c>
      <c r="B29" s="192"/>
      <c r="C29" s="18">
        <f>SUM(C20:C28)</f>
        <v>694940</v>
      </c>
      <c r="D29" s="18">
        <f t="shared" ref="D29:F29" si="2">SUM(D20:D28)</f>
        <v>0</v>
      </c>
      <c r="E29" s="18">
        <f t="shared" si="2"/>
        <v>0</v>
      </c>
      <c r="F29" s="18">
        <f t="shared" si="2"/>
        <v>0</v>
      </c>
    </row>
    <row r="30" spans="1:6" x14ac:dyDescent="0.25">
      <c r="A30" s="31" t="s">
        <v>365</v>
      </c>
      <c r="B30" s="230"/>
      <c r="C30" s="229">
        <f>C13+C19+C29</f>
        <v>727880</v>
      </c>
      <c r="D30" s="229">
        <f t="shared" ref="D30:F30" si="3">D13+D19+D29</f>
        <v>0</v>
      </c>
      <c r="E30" s="229">
        <f t="shared" si="3"/>
        <v>0</v>
      </c>
      <c r="F30" s="229">
        <f t="shared" si="3"/>
        <v>0</v>
      </c>
    </row>
    <row r="31" spans="1:6" x14ac:dyDescent="0.25">
      <c r="A31" s="189"/>
    </row>
    <row r="32" spans="1:6" ht="27.6" x14ac:dyDescent="0.25">
      <c r="A32" s="507" t="s">
        <v>366</v>
      </c>
      <c r="B32" s="508"/>
      <c r="C32" s="508"/>
      <c r="D32" s="194" t="s">
        <v>367</v>
      </c>
      <c r="E32" s="194" t="s">
        <v>368</v>
      </c>
      <c r="F32" s="194" t="s">
        <v>369</v>
      </c>
    </row>
    <row r="33" spans="1:6" x14ac:dyDescent="0.25">
      <c r="A33" s="510" t="s">
        <v>370</v>
      </c>
      <c r="B33" s="511"/>
      <c r="C33" s="512"/>
      <c r="D33" s="15"/>
      <c r="E33" s="15"/>
      <c r="F33" s="15"/>
    </row>
    <row r="34" spans="1:6" x14ac:dyDescent="0.25">
      <c r="A34" s="510" t="s">
        <v>371</v>
      </c>
      <c r="B34" s="511"/>
      <c r="C34" s="512"/>
      <c r="D34" s="15"/>
      <c r="E34" s="15"/>
      <c r="F34" s="15"/>
    </row>
    <row r="35" spans="1:6" x14ac:dyDescent="0.25">
      <c r="A35" s="510" t="s">
        <v>372</v>
      </c>
      <c r="B35" s="511"/>
      <c r="C35" s="512"/>
      <c r="D35" s="15"/>
      <c r="E35" s="15"/>
      <c r="F35" s="15"/>
    </row>
    <row r="36" spans="1:6" x14ac:dyDescent="0.25">
      <c r="A36" s="513" t="s">
        <v>373</v>
      </c>
      <c r="B36" s="514"/>
      <c r="C36" s="515"/>
      <c r="D36" s="47">
        <f>SUM(D33:D35)</f>
        <v>0</v>
      </c>
      <c r="E36" s="47">
        <f t="shared" ref="E36:F36" si="4">SUM(E33:E35)</f>
        <v>0</v>
      </c>
      <c r="F36" s="47">
        <f t="shared" si="4"/>
        <v>0</v>
      </c>
    </row>
    <row r="38" spans="1:6" x14ac:dyDescent="0.25">
      <c r="A38" s="507" t="s">
        <v>374</v>
      </c>
      <c r="B38" s="508"/>
      <c r="C38" s="508"/>
      <c r="D38" s="199" t="s">
        <v>375</v>
      </c>
      <c r="E38" s="199" t="s">
        <v>376</v>
      </c>
    </row>
    <row r="39" spans="1:6" x14ac:dyDescent="0.25">
      <c r="A39" s="510" t="s">
        <v>377</v>
      </c>
      <c r="B39" s="511"/>
      <c r="C39" s="512"/>
      <c r="D39" s="15"/>
      <c r="E39" s="15"/>
    </row>
    <row r="40" spans="1:6" x14ac:dyDescent="0.25">
      <c r="A40" s="510" t="s">
        <v>378</v>
      </c>
      <c r="B40" s="511"/>
      <c r="C40" s="512"/>
      <c r="D40" s="15"/>
      <c r="E40" s="15"/>
    </row>
    <row r="41" spans="1:6" x14ac:dyDescent="0.25">
      <c r="A41" s="510" t="s">
        <v>379</v>
      </c>
      <c r="B41" s="511"/>
      <c r="C41" s="512"/>
      <c r="D41" s="15"/>
      <c r="E41" s="15"/>
    </row>
    <row r="42" spans="1:6" x14ac:dyDescent="0.25">
      <c r="A42" s="510" t="s">
        <v>380</v>
      </c>
      <c r="B42" s="511"/>
      <c r="C42" s="512"/>
      <c r="D42" s="15"/>
      <c r="E42" s="15"/>
    </row>
    <row r="43" spans="1:6" x14ac:dyDescent="0.25">
      <c r="A43" s="510" t="s">
        <v>381</v>
      </c>
      <c r="B43" s="511"/>
      <c r="C43" s="512"/>
      <c r="D43" s="15"/>
      <c r="E43" s="15"/>
    </row>
    <row r="44" spans="1:6" x14ac:dyDescent="0.25">
      <c r="A44" s="516" t="s">
        <v>373</v>
      </c>
      <c r="B44" s="517"/>
      <c r="C44" s="518"/>
      <c r="D44" s="47">
        <f>SUM(D39:D43)</f>
        <v>0</v>
      </c>
      <c r="E44" s="47">
        <f>SUM(E39:E43)</f>
        <v>0</v>
      </c>
    </row>
    <row r="46" spans="1:6" x14ac:dyDescent="0.25">
      <c r="A46" s="509" t="s">
        <v>382</v>
      </c>
      <c r="B46" s="509"/>
      <c r="C46" s="509"/>
      <c r="D46" s="509"/>
    </row>
    <row r="47" spans="1:6" x14ac:dyDescent="0.25">
      <c r="A47" s="492" t="s">
        <v>383</v>
      </c>
      <c r="B47" s="492"/>
      <c r="C47" s="492"/>
      <c r="D47" s="492"/>
    </row>
    <row r="48" spans="1:6" x14ac:dyDescent="0.25">
      <c r="A48" s="492" t="s">
        <v>384</v>
      </c>
      <c r="B48" s="492"/>
      <c r="C48" s="492"/>
      <c r="D48" s="492"/>
    </row>
  </sheetData>
  <mergeCells count="21">
    <mergeCell ref="A6:A8"/>
    <mergeCell ref="B6:B8"/>
    <mergeCell ref="C6:C8"/>
    <mergeCell ref="D6:F6"/>
    <mergeCell ref="D7:D8"/>
    <mergeCell ref="E7:E8"/>
    <mergeCell ref="A32:C32"/>
    <mergeCell ref="A38:C38"/>
    <mergeCell ref="A46:D46"/>
    <mergeCell ref="A47:D47"/>
    <mergeCell ref="A48:D48"/>
    <mergeCell ref="A33:C33"/>
    <mergeCell ref="A34:C34"/>
    <mergeCell ref="A35:C35"/>
    <mergeCell ref="A39:C39"/>
    <mergeCell ref="A40:C40"/>
    <mergeCell ref="A41:C41"/>
    <mergeCell ref="A42:C42"/>
    <mergeCell ref="A43:C43"/>
    <mergeCell ref="A36:C36"/>
    <mergeCell ref="A44:C44"/>
  </mergeCells>
  <pageMargins left="0.7" right="0.7" top="0.75" bottom="0.75" header="0.3" footer="0.3"/>
  <pageSetup paperSize="9" scale="74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41"/>
  <sheetViews>
    <sheetView zoomScalePageLayoutView="90" workbookViewId="0">
      <selection activeCell="A26" sqref="A26:XFD26"/>
    </sheetView>
  </sheetViews>
  <sheetFormatPr baseColWidth="10" defaultColWidth="11.44140625" defaultRowHeight="13.8" x14ac:dyDescent="0.25"/>
  <cols>
    <col min="1" max="1" width="91.88671875" style="5" customWidth="1"/>
    <col min="2" max="16384" width="11.44140625" style="5"/>
  </cols>
  <sheetData>
    <row r="4" spans="1:1" x14ac:dyDescent="0.25">
      <c r="A4" s="240" t="s">
        <v>385</v>
      </c>
    </row>
    <row r="5" spans="1:1" x14ac:dyDescent="0.25">
      <c r="A5" s="132" t="s">
        <v>386</v>
      </c>
    </row>
    <row r="6" spans="1:1" ht="27.6" x14ac:dyDescent="0.25">
      <c r="A6" s="135" t="s">
        <v>387</v>
      </c>
    </row>
    <row r="7" spans="1:1" ht="27.6" x14ac:dyDescent="0.25">
      <c r="A7" s="135" t="s">
        <v>388</v>
      </c>
    </row>
    <row r="8" spans="1:1" x14ac:dyDescent="0.25">
      <c r="A8" s="132"/>
    </row>
    <row r="9" spans="1:1" x14ac:dyDescent="0.25">
      <c r="A9" s="132"/>
    </row>
    <row r="10" spans="1:1" x14ac:dyDescent="0.25">
      <c r="A10" s="132"/>
    </row>
    <row r="11" spans="1:1" x14ac:dyDescent="0.25">
      <c r="A11" s="132"/>
    </row>
    <row r="12" spans="1:1" x14ac:dyDescent="0.25">
      <c r="A12" s="132"/>
    </row>
    <row r="13" spans="1:1" x14ac:dyDescent="0.25">
      <c r="A13" s="132"/>
    </row>
    <row r="14" spans="1:1" x14ac:dyDescent="0.25">
      <c r="A14" s="132"/>
    </row>
    <row r="15" spans="1:1" ht="27.6" x14ac:dyDescent="0.25">
      <c r="A15" s="180" t="s">
        <v>1135</v>
      </c>
    </row>
    <row r="16" spans="1:1" ht="27.6" x14ac:dyDescent="0.25">
      <c r="A16" s="135" t="s">
        <v>1222</v>
      </c>
    </row>
    <row r="17" spans="1:1" x14ac:dyDescent="0.25">
      <c r="A17" s="132"/>
    </row>
    <row r="18" spans="1:1" x14ac:dyDescent="0.25">
      <c r="A18" s="132"/>
    </row>
    <row r="19" spans="1:1" x14ac:dyDescent="0.25">
      <c r="A19" s="132"/>
    </row>
    <row r="20" spans="1:1" x14ac:dyDescent="0.25">
      <c r="A20" s="132"/>
    </row>
    <row r="21" spans="1:1" x14ac:dyDescent="0.25">
      <c r="A21" s="132"/>
    </row>
    <row r="22" spans="1:1" x14ac:dyDescent="0.25">
      <c r="A22" s="132"/>
    </row>
    <row r="23" spans="1:1" x14ac:dyDescent="0.25">
      <c r="A23" s="175" t="s">
        <v>389</v>
      </c>
    </row>
    <row r="24" spans="1:1" x14ac:dyDescent="0.25">
      <c r="A24" s="132" t="s">
        <v>1223</v>
      </c>
    </row>
    <row r="25" spans="1:1" x14ac:dyDescent="0.25">
      <c r="A25" s="132"/>
    </row>
    <row r="26" spans="1:1" x14ac:dyDescent="0.25">
      <c r="A26" s="132"/>
    </row>
    <row r="27" spans="1:1" x14ac:dyDescent="0.25">
      <c r="A27" s="132"/>
    </row>
    <row r="28" spans="1:1" ht="27.6" x14ac:dyDescent="0.25">
      <c r="A28" s="180" t="s">
        <v>390</v>
      </c>
    </row>
    <row r="29" spans="1:1" x14ac:dyDescent="0.25">
      <c r="A29" s="132"/>
    </row>
    <row r="30" spans="1:1" x14ac:dyDescent="0.25">
      <c r="A30" s="132"/>
    </row>
    <row r="31" spans="1:1" x14ac:dyDescent="0.25">
      <c r="A31" s="132"/>
    </row>
    <row r="32" spans="1:1" x14ac:dyDescent="0.25">
      <c r="A32" s="132"/>
    </row>
    <row r="33" spans="1:1" x14ac:dyDescent="0.25">
      <c r="A33" s="133"/>
    </row>
    <row r="36" spans="1:1" x14ac:dyDescent="0.25">
      <c r="A36" s="198" t="s">
        <v>401</v>
      </c>
    </row>
    <row r="37" spans="1:1" x14ac:dyDescent="0.25">
      <c r="A37" s="241" t="s">
        <v>1136</v>
      </c>
    </row>
    <row r="38" spans="1:1" ht="26.4" x14ac:dyDescent="0.25">
      <c r="A38" s="241" t="s">
        <v>1137</v>
      </c>
    </row>
    <row r="39" spans="1:1" ht="39.6" x14ac:dyDescent="0.25">
      <c r="A39" s="241" t="s">
        <v>1138</v>
      </c>
    </row>
    <row r="40" spans="1:1" ht="36.75" customHeight="1" x14ac:dyDescent="0.25">
      <c r="A40" s="241" t="s">
        <v>1139</v>
      </c>
    </row>
    <row r="41" spans="1:1" x14ac:dyDescent="0.25">
      <c r="A41" s="3"/>
    </row>
  </sheetData>
  <pageMargins left="0.7" right="0.7" top="0.75" bottom="0.75" header="0.3" footer="0.3"/>
  <pageSetup paperSize="9" scale="84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workbookViewId="0">
      <selection activeCell="C20" sqref="C20"/>
    </sheetView>
  </sheetViews>
  <sheetFormatPr baseColWidth="10" defaultColWidth="86.5546875" defaultRowHeight="13.8" x14ac:dyDescent="0.25"/>
  <cols>
    <col min="1" max="1" width="89.77734375" style="5" customWidth="1"/>
    <col min="2" max="2" width="12" style="5" customWidth="1"/>
    <col min="3" max="16384" width="86.5546875" style="5"/>
  </cols>
  <sheetData>
    <row r="1" spans="1:1" x14ac:dyDescent="0.25">
      <c r="A1" s="242"/>
    </row>
    <row r="2" spans="1:1" x14ac:dyDescent="0.25">
      <c r="A2" s="76"/>
    </row>
    <row r="3" spans="1:1" x14ac:dyDescent="0.25">
      <c r="A3" s="76"/>
    </row>
    <row r="4" spans="1:1" x14ac:dyDescent="0.25">
      <c r="A4" s="76"/>
    </row>
    <row r="5" spans="1:1" x14ac:dyDescent="0.25">
      <c r="A5" s="520" t="s">
        <v>1243</v>
      </c>
    </row>
    <row r="6" spans="1:1" x14ac:dyDescent="0.25">
      <c r="A6" s="521"/>
    </row>
    <row r="7" spans="1:1" x14ac:dyDescent="0.25">
      <c r="A7" s="521"/>
    </row>
    <row r="8" spans="1:1" x14ac:dyDescent="0.25">
      <c r="A8" s="243" t="s">
        <v>391</v>
      </c>
    </row>
    <row r="9" spans="1:1" x14ac:dyDescent="0.25">
      <c r="A9" s="243"/>
    </row>
    <row r="10" spans="1:1" x14ac:dyDescent="0.25">
      <c r="A10" s="243"/>
    </row>
    <row r="11" spans="1:1" x14ac:dyDescent="0.25">
      <c r="A11" s="244"/>
    </row>
    <row r="12" spans="1:1" ht="27.6" x14ac:dyDescent="0.25">
      <c r="A12" s="245" t="s">
        <v>398</v>
      </c>
    </row>
    <row r="13" spans="1:1" x14ac:dyDescent="0.25">
      <c r="A13" s="522" t="s">
        <v>1140</v>
      </c>
    </row>
    <row r="14" spans="1:1" x14ac:dyDescent="0.25">
      <c r="A14" s="523"/>
    </row>
    <row r="15" spans="1:1" x14ac:dyDescent="0.25">
      <c r="A15" s="523" t="s">
        <v>392</v>
      </c>
    </row>
    <row r="16" spans="1:1" x14ac:dyDescent="0.25">
      <c r="A16" s="523"/>
    </row>
    <row r="17" spans="1:1" x14ac:dyDescent="0.25">
      <c r="A17" s="523" t="s">
        <v>393</v>
      </c>
    </row>
    <row r="18" spans="1:1" ht="16.5" customHeight="1" x14ac:dyDescent="0.25">
      <c r="A18" s="523"/>
    </row>
    <row r="19" spans="1:1" ht="15" hidden="1" customHeight="1" x14ac:dyDescent="0.25">
      <c r="A19" s="524"/>
    </row>
    <row r="20" spans="1:1" ht="27.6" x14ac:dyDescent="0.25">
      <c r="A20" s="246" t="s">
        <v>1142</v>
      </c>
    </row>
    <row r="21" spans="1:1" x14ac:dyDescent="0.25">
      <c r="A21" s="247" t="s">
        <v>1141</v>
      </c>
    </row>
    <row r="22" spans="1:1" x14ac:dyDescent="0.25">
      <c r="A22" s="248"/>
    </row>
    <row r="23" spans="1:1" ht="27.6" x14ac:dyDescent="0.25">
      <c r="A23" s="249" t="s">
        <v>400</v>
      </c>
    </row>
    <row r="24" spans="1:1" ht="27.6" x14ac:dyDescent="0.25">
      <c r="A24" s="191" t="s">
        <v>394</v>
      </c>
    </row>
    <row r="25" spans="1:1" x14ac:dyDescent="0.25">
      <c r="A25" s="250" t="s">
        <v>399</v>
      </c>
    </row>
    <row r="26" spans="1:1" x14ac:dyDescent="0.25">
      <c r="A26" s="135"/>
    </row>
    <row r="27" spans="1:1" ht="27.6" x14ac:dyDescent="0.25">
      <c r="A27" s="135" t="s">
        <v>396</v>
      </c>
    </row>
    <row r="28" spans="1:1" x14ac:dyDescent="0.25">
      <c r="A28" s="136" t="s">
        <v>397</v>
      </c>
    </row>
    <row r="29" spans="1:1" x14ac:dyDescent="0.25">
      <c r="A29" s="76"/>
    </row>
    <row r="30" spans="1:1" x14ac:dyDescent="0.25">
      <c r="A30" s="76"/>
    </row>
    <row r="31" spans="1:1" x14ac:dyDescent="0.25">
      <c r="A31" s="76"/>
    </row>
  </sheetData>
  <mergeCells count="4">
    <mergeCell ref="A5:A7"/>
    <mergeCell ref="A13:A14"/>
    <mergeCell ref="A15:A16"/>
    <mergeCell ref="A17:A19"/>
  </mergeCells>
  <pageMargins left="0.7" right="0.7" top="0.75" bottom="0.75" header="0.3" footer="0.3"/>
  <pageSetup paperSize="9" scale="86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28"/>
  <sheetViews>
    <sheetView workbookViewId="0">
      <selection activeCell="D1" sqref="D1"/>
    </sheetView>
  </sheetViews>
  <sheetFormatPr baseColWidth="10" defaultColWidth="11.44140625" defaultRowHeight="13.8" x14ac:dyDescent="0.25"/>
  <cols>
    <col min="1" max="1" width="87.21875" style="5" customWidth="1"/>
    <col min="2" max="16384" width="11.44140625" style="5"/>
  </cols>
  <sheetData>
    <row r="5" spans="1:1" ht="14.4" thickBot="1" x14ac:dyDescent="0.3"/>
    <row r="6" spans="1:1" ht="14.4" thickBot="1" x14ac:dyDescent="0.3">
      <c r="A6" s="4"/>
    </row>
    <row r="7" spans="1:1" ht="14.4" thickBot="1" x14ac:dyDescent="0.3">
      <c r="A7" s="251" t="s">
        <v>402</v>
      </c>
    </row>
    <row r="8" spans="1:1" x14ac:dyDescent="0.25">
      <c r="A8" s="252"/>
    </row>
    <row r="9" spans="1:1" x14ac:dyDescent="0.25">
      <c r="A9" s="253" t="s">
        <v>403</v>
      </c>
    </row>
    <row r="10" spans="1:1" x14ac:dyDescent="0.25">
      <c r="A10" s="252" t="s">
        <v>1143</v>
      </c>
    </row>
    <row r="11" spans="1:1" ht="41.4" x14ac:dyDescent="0.25">
      <c r="A11" s="254" t="s">
        <v>1144</v>
      </c>
    </row>
    <row r="12" spans="1:1" ht="41.4" x14ac:dyDescent="0.25">
      <c r="A12" s="255" t="s">
        <v>409</v>
      </c>
    </row>
    <row r="13" spans="1:1" ht="27.6" x14ac:dyDescent="0.25">
      <c r="A13" s="255" t="s">
        <v>410</v>
      </c>
    </row>
    <row r="14" spans="1:1" x14ac:dyDescent="0.25">
      <c r="A14" s="256"/>
    </row>
    <row r="15" spans="1:1" x14ac:dyDescent="0.25">
      <c r="A15" s="257" t="s">
        <v>404</v>
      </c>
    </row>
    <row r="16" spans="1:1" x14ac:dyDescent="0.25">
      <c r="A16" s="252" t="s">
        <v>1143</v>
      </c>
    </row>
    <row r="17" spans="1:1" x14ac:dyDescent="0.25">
      <c r="A17" s="258" t="s">
        <v>411</v>
      </c>
    </row>
    <row r="18" spans="1:1" ht="27.6" x14ac:dyDescent="0.25">
      <c r="A18" s="255" t="s">
        <v>412</v>
      </c>
    </row>
    <row r="19" spans="1:1" ht="41.4" x14ac:dyDescent="0.25">
      <c r="A19" s="255" t="s">
        <v>413</v>
      </c>
    </row>
    <row r="20" spans="1:1" ht="41.4" x14ac:dyDescent="0.25">
      <c r="A20" s="255" t="s">
        <v>414</v>
      </c>
    </row>
    <row r="21" spans="1:1" ht="14.4" thickBot="1" x14ac:dyDescent="0.3">
      <c r="A21" s="256" t="s">
        <v>405</v>
      </c>
    </row>
    <row r="22" spans="1:1" ht="14.4" thickBot="1" x14ac:dyDescent="0.3">
      <c r="A22" s="259" t="s">
        <v>406</v>
      </c>
    </row>
    <row r="23" spans="1:1" x14ac:dyDescent="0.25">
      <c r="A23" s="260" t="s">
        <v>1145</v>
      </c>
    </row>
    <row r="24" spans="1:1" ht="14.4" thickBot="1" x14ac:dyDescent="0.3">
      <c r="A24" s="260"/>
    </row>
    <row r="25" spans="1:1" ht="14.4" thickBot="1" x14ac:dyDescent="0.3">
      <c r="A25" s="259" t="s">
        <v>407</v>
      </c>
    </row>
    <row r="26" spans="1:1" x14ac:dyDescent="0.25">
      <c r="A26" s="261" t="s">
        <v>408</v>
      </c>
    </row>
    <row r="27" spans="1:1" ht="27.6" x14ac:dyDescent="0.25">
      <c r="A27" s="255" t="s">
        <v>1146</v>
      </c>
    </row>
    <row r="28" spans="1:1" ht="28.2" thickBot="1" x14ac:dyDescent="0.3">
      <c r="A28" s="262" t="s">
        <v>415</v>
      </c>
    </row>
  </sheetData>
  <pageMargins left="0.7" right="0.7" top="0.75" bottom="0.75" header="0.3" footer="0.3"/>
  <pageSetup paperSize="9" scale="88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H25"/>
  <sheetViews>
    <sheetView topLeftCell="A2" workbookViewId="0">
      <selection activeCell="D20" sqref="D20"/>
    </sheetView>
  </sheetViews>
  <sheetFormatPr baseColWidth="10" defaultColWidth="11.44140625" defaultRowHeight="13.8" x14ac:dyDescent="0.25"/>
  <cols>
    <col min="1" max="1" width="42" style="5" customWidth="1"/>
    <col min="2" max="2" width="14.88671875" style="5" customWidth="1"/>
    <col min="3" max="3" width="12.21875" style="5" customWidth="1"/>
    <col min="4" max="4" width="12.5546875" style="5" customWidth="1"/>
    <col min="5" max="5" width="12.77734375" style="5" customWidth="1"/>
    <col min="6" max="6" width="10.44140625" style="5" customWidth="1"/>
    <col min="7" max="7" width="11.21875" style="5" customWidth="1"/>
    <col min="8" max="8" width="14" style="91" bestFit="1" customWidth="1"/>
    <col min="9" max="16384" width="11.44140625" style="5"/>
  </cols>
  <sheetData>
    <row r="8" spans="1:8" x14ac:dyDescent="0.25">
      <c r="A8" s="263" t="s">
        <v>1147</v>
      </c>
      <c r="B8" s="264" t="s">
        <v>187</v>
      </c>
      <c r="C8" s="498" t="s">
        <v>416</v>
      </c>
      <c r="D8" s="499"/>
      <c r="E8" s="500"/>
      <c r="F8" s="525" t="s">
        <v>417</v>
      </c>
      <c r="G8" s="525"/>
      <c r="H8" s="190" t="s">
        <v>418</v>
      </c>
    </row>
    <row r="9" spans="1:8" ht="69" x14ac:dyDescent="0.25">
      <c r="A9" s="265" t="s">
        <v>419</v>
      </c>
      <c r="B9" s="182" t="s">
        <v>420</v>
      </c>
      <c r="C9" s="182" t="s">
        <v>421</v>
      </c>
      <c r="D9" s="182" t="s">
        <v>422</v>
      </c>
      <c r="E9" s="182" t="s">
        <v>423</v>
      </c>
      <c r="F9" s="182" t="s">
        <v>424</v>
      </c>
      <c r="G9" s="182" t="s">
        <v>422</v>
      </c>
      <c r="H9" s="329" t="s">
        <v>425</v>
      </c>
    </row>
    <row r="10" spans="1:8" x14ac:dyDescent="0.25">
      <c r="A10" s="266" t="s">
        <v>426</v>
      </c>
      <c r="B10" s="267">
        <f t="shared" ref="B10:G10" si="0">SUM(B11:B13)</f>
        <v>1767600</v>
      </c>
      <c r="C10" s="267">
        <f t="shared" si="0"/>
        <v>0</v>
      </c>
      <c r="D10" s="267">
        <f t="shared" si="0"/>
        <v>0</v>
      </c>
      <c r="E10" s="267">
        <f t="shared" si="0"/>
        <v>0</v>
      </c>
      <c r="F10" s="267">
        <f t="shared" si="0"/>
        <v>0</v>
      </c>
      <c r="G10" s="267">
        <f t="shared" si="0"/>
        <v>0</v>
      </c>
      <c r="H10" s="268">
        <f>B10+C10+D10+E10-F10-G10</f>
        <v>1767600</v>
      </c>
    </row>
    <row r="11" spans="1:8" x14ac:dyDescent="0.25">
      <c r="A11" s="269" t="s">
        <v>427</v>
      </c>
      <c r="B11" s="167">
        <v>0</v>
      </c>
      <c r="C11" s="167">
        <v>0</v>
      </c>
      <c r="D11" s="167">
        <v>0</v>
      </c>
      <c r="E11" s="167">
        <v>0</v>
      </c>
      <c r="F11" s="167">
        <v>0</v>
      </c>
      <c r="G11" s="167">
        <v>0</v>
      </c>
      <c r="H11" s="341">
        <f t="shared" ref="H11:H13" si="1">B11+C11+D11+E11-F11-G11</f>
        <v>0</v>
      </c>
    </row>
    <row r="12" spans="1:8" x14ac:dyDescent="0.25">
      <c r="A12" s="132" t="s">
        <v>428</v>
      </c>
      <c r="B12" s="15">
        <v>1767600</v>
      </c>
      <c r="C12" s="167"/>
      <c r="D12" s="167"/>
      <c r="E12" s="167">
        <v>0</v>
      </c>
      <c r="F12" s="167"/>
      <c r="G12" s="167"/>
      <c r="H12" s="341">
        <f t="shared" si="1"/>
        <v>1767600</v>
      </c>
    </row>
    <row r="13" spans="1:8" x14ac:dyDescent="0.25">
      <c r="A13" s="133" t="s">
        <v>429</v>
      </c>
      <c r="B13" s="15">
        <v>0</v>
      </c>
      <c r="C13" s="167"/>
      <c r="D13" s="167"/>
      <c r="E13" s="167">
        <v>0</v>
      </c>
      <c r="F13" s="167"/>
      <c r="G13" s="167"/>
      <c r="H13" s="341">
        <f t="shared" si="1"/>
        <v>0</v>
      </c>
    </row>
    <row r="14" spans="1:8" x14ac:dyDescent="0.25">
      <c r="A14" s="270" t="s">
        <v>68</v>
      </c>
      <c r="B14" s="121">
        <f>SUM(B15:B17)</f>
        <v>0</v>
      </c>
      <c r="C14" s="121">
        <f>SUM(C15:C17)</f>
        <v>685000</v>
      </c>
      <c r="D14" s="121">
        <f t="shared" ref="D14:G14" si="2">SUM(D15:D17)</f>
        <v>0</v>
      </c>
      <c r="E14" s="121">
        <f t="shared" si="2"/>
        <v>0</v>
      </c>
      <c r="F14" s="121">
        <f t="shared" si="2"/>
        <v>0</v>
      </c>
      <c r="G14" s="121">
        <f t="shared" si="2"/>
        <v>0</v>
      </c>
      <c r="H14" s="339">
        <f>B14+C14+D14+E14-F14-G14</f>
        <v>685000</v>
      </c>
    </row>
    <row r="15" spans="1:8" x14ac:dyDescent="0.25">
      <c r="A15" s="271" t="s">
        <v>42</v>
      </c>
      <c r="B15" s="15">
        <v>0</v>
      </c>
      <c r="C15" s="15"/>
      <c r="D15" s="15"/>
      <c r="E15" s="15">
        <v>0</v>
      </c>
      <c r="F15" s="15"/>
      <c r="G15" s="15"/>
      <c r="H15" s="177">
        <f t="shared" ref="H15:H16" si="3">B15+C15+D15+E15-F15-G15</f>
        <v>0</v>
      </c>
    </row>
    <row r="16" spans="1:8" x14ac:dyDescent="0.25">
      <c r="A16" s="132" t="s">
        <v>431</v>
      </c>
      <c r="B16" s="15">
        <v>0</v>
      </c>
      <c r="C16" s="15"/>
      <c r="D16" s="15"/>
      <c r="E16" s="15">
        <v>0</v>
      </c>
      <c r="F16" s="15"/>
      <c r="G16" s="15"/>
      <c r="H16" s="177">
        <f t="shared" si="3"/>
        <v>0</v>
      </c>
    </row>
    <row r="17" spans="1:8" x14ac:dyDescent="0.25">
      <c r="A17" s="132" t="s">
        <v>432</v>
      </c>
      <c r="B17" s="5">
        <v>0</v>
      </c>
      <c r="C17" s="15">
        <v>685000</v>
      </c>
      <c r="D17" s="15"/>
      <c r="E17" s="15">
        <v>0</v>
      </c>
      <c r="F17" s="15"/>
      <c r="G17" s="15"/>
      <c r="H17" s="177">
        <f>C17+B17+D17+E17-F17-G17</f>
        <v>685000</v>
      </c>
    </row>
    <row r="18" spans="1:8" x14ac:dyDescent="0.25">
      <c r="A18" s="270" t="s">
        <v>433</v>
      </c>
      <c r="B18" s="121">
        <f>SUM(B19:B20)</f>
        <v>0</v>
      </c>
      <c r="C18" s="121">
        <f t="shared" ref="C18:G18" si="4">SUM(C19:C20)</f>
        <v>0</v>
      </c>
      <c r="D18" s="121">
        <f t="shared" si="4"/>
        <v>0</v>
      </c>
      <c r="E18" s="121">
        <f t="shared" si="4"/>
        <v>0</v>
      </c>
      <c r="F18" s="121">
        <f t="shared" si="4"/>
        <v>0</v>
      </c>
      <c r="G18" s="121">
        <f t="shared" si="4"/>
        <v>0</v>
      </c>
      <c r="H18" s="339">
        <f>B18+C18+D18+E18-F18-G18</f>
        <v>0</v>
      </c>
    </row>
    <row r="19" spans="1:8" x14ac:dyDescent="0.25">
      <c r="A19" s="272" t="s">
        <v>434</v>
      </c>
      <c r="B19" s="15">
        <v>0</v>
      </c>
      <c r="C19" s="15"/>
      <c r="D19" s="15"/>
      <c r="E19" s="15">
        <v>0</v>
      </c>
      <c r="F19" s="15"/>
      <c r="G19" s="15"/>
      <c r="H19" s="177">
        <f t="shared" ref="H19:H20" si="5">B19+C19+D19+E19-F19-G19</f>
        <v>0</v>
      </c>
    </row>
    <row r="20" spans="1:8" x14ac:dyDescent="0.25">
      <c r="A20" s="273" t="s">
        <v>78</v>
      </c>
      <c r="B20" s="15">
        <v>0</v>
      </c>
      <c r="C20" s="15"/>
      <c r="D20" s="15"/>
      <c r="E20" s="15">
        <v>0</v>
      </c>
      <c r="F20" s="15"/>
      <c r="G20" s="15"/>
      <c r="H20" s="177">
        <f t="shared" si="5"/>
        <v>0</v>
      </c>
    </row>
    <row r="21" spans="1:8" x14ac:dyDescent="0.25">
      <c r="A21" s="274" t="s">
        <v>129</v>
      </c>
      <c r="B21" s="47">
        <f>B10+B14+B18</f>
        <v>1767600</v>
      </c>
      <c r="C21" s="47">
        <f t="shared" ref="C21:H21" si="6">C10+C14+C18</f>
        <v>685000</v>
      </c>
      <c r="D21" s="47">
        <f t="shared" si="6"/>
        <v>0</v>
      </c>
      <c r="E21" s="47">
        <f t="shared" si="6"/>
        <v>0</v>
      </c>
      <c r="F21" s="47">
        <f t="shared" si="6"/>
        <v>0</v>
      </c>
      <c r="G21" s="47">
        <f t="shared" si="6"/>
        <v>0</v>
      </c>
      <c r="H21" s="178">
        <f t="shared" si="6"/>
        <v>2452600</v>
      </c>
    </row>
    <row r="23" spans="1:8" x14ac:dyDescent="0.25">
      <c r="A23" s="5" t="s">
        <v>1148</v>
      </c>
    </row>
    <row r="24" spans="1:8" x14ac:dyDescent="0.25">
      <c r="A24" s="5" t="s">
        <v>1224</v>
      </c>
    </row>
    <row r="25" spans="1:8" x14ac:dyDescent="0.25">
      <c r="A25" s="5" t="s">
        <v>405</v>
      </c>
    </row>
  </sheetData>
  <mergeCells count="2">
    <mergeCell ref="C8:E8"/>
    <mergeCell ref="F8:G8"/>
  </mergeCells>
  <pageMargins left="0.7" right="0.7" top="0.75" bottom="0.75" header="0.3" footer="0.3"/>
  <pageSetup paperSize="9" scale="6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31"/>
  <sheetViews>
    <sheetView topLeftCell="A11" workbookViewId="0">
      <selection activeCell="C16" sqref="C16"/>
    </sheetView>
  </sheetViews>
  <sheetFormatPr baseColWidth="10" defaultColWidth="11.44140625" defaultRowHeight="13.8" x14ac:dyDescent="0.25"/>
  <cols>
    <col min="1" max="1" width="50" style="5" customWidth="1"/>
    <col min="2" max="2" width="14.44140625" style="5" customWidth="1"/>
    <col min="3" max="3" width="12.21875" style="5" customWidth="1"/>
    <col min="4" max="4" width="12.109375" style="5" customWidth="1"/>
    <col min="5" max="5" width="13.5546875" style="5" customWidth="1"/>
    <col min="6" max="6" width="10.21875" style="5" customWidth="1"/>
    <col min="7" max="7" width="11.44140625" style="5"/>
    <col min="8" max="8" width="14.44140625" style="5" customWidth="1"/>
    <col min="9" max="16384" width="11.44140625" style="5"/>
  </cols>
  <sheetData>
    <row r="6" spans="1:8" x14ac:dyDescent="0.25">
      <c r="A6" s="275"/>
      <c r="B6" s="275"/>
      <c r="C6" s="275"/>
      <c r="D6" s="275"/>
      <c r="E6" s="275"/>
      <c r="F6" s="275"/>
      <c r="G6" s="275"/>
      <c r="H6" s="275"/>
    </row>
    <row r="7" spans="1:8" x14ac:dyDescent="0.25">
      <c r="A7" s="276" t="s">
        <v>435</v>
      </c>
      <c r="B7" s="323" t="s">
        <v>187</v>
      </c>
      <c r="C7" s="526" t="s">
        <v>436</v>
      </c>
      <c r="D7" s="525"/>
      <c r="E7" s="527"/>
      <c r="F7" s="526" t="s">
        <v>437</v>
      </c>
      <c r="G7" s="527"/>
      <c r="H7" s="324" t="s">
        <v>438</v>
      </c>
    </row>
    <row r="8" spans="1:8" ht="69" x14ac:dyDescent="0.25">
      <c r="A8" s="277" t="s">
        <v>419</v>
      </c>
      <c r="B8" s="184" t="s">
        <v>420</v>
      </c>
      <c r="C8" s="185" t="s">
        <v>439</v>
      </c>
      <c r="D8" s="182" t="s">
        <v>422</v>
      </c>
      <c r="E8" s="334" t="s">
        <v>423</v>
      </c>
      <c r="F8" s="185" t="s">
        <v>440</v>
      </c>
      <c r="G8" s="334" t="s">
        <v>422</v>
      </c>
      <c r="H8" s="183" t="s">
        <v>425</v>
      </c>
    </row>
    <row r="9" spans="1:8" x14ac:dyDescent="0.25">
      <c r="A9" s="50" t="s">
        <v>430</v>
      </c>
      <c r="B9" s="330">
        <f>SUM(B10:B13)</f>
        <v>1767600</v>
      </c>
      <c r="C9" s="335">
        <f t="shared" ref="C9:G9" si="0">SUM(C10:C13)</f>
        <v>0</v>
      </c>
      <c r="D9" s="18">
        <f t="shared" si="0"/>
        <v>0</v>
      </c>
      <c r="E9" s="336">
        <f t="shared" si="0"/>
        <v>0</v>
      </c>
      <c r="F9" s="335">
        <f t="shared" si="0"/>
        <v>0</v>
      </c>
      <c r="G9" s="336">
        <f t="shared" si="0"/>
        <v>0</v>
      </c>
      <c r="H9" s="332">
        <f>B9+C9+D9+E9-F9-G9</f>
        <v>1767600</v>
      </c>
    </row>
    <row r="10" spans="1:8" x14ac:dyDescent="0.25">
      <c r="A10" s="271" t="s">
        <v>1172</v>
      </c>
      <c r="B10" s="325">
        <v>1767600</v>
      </c>
      <c r="C10" s="186"/>
      <c r="D10" s="15"/>
      <c r="E10" s="187"/>
      <c r="F10" s="186"/>
      <c r="G10" s="187"/>
      <c r="H10" s="340">
        <f t="shared" ref="H10:H13" si="1">B10+C10+D10+E10-F10-G10</f>
        <v>1767600</v>
      </c>
    </row>
    <row r="11" spans="1:8" x14ac:dyDescent="0.25">
      <c r="A11" s="132" t="s">
        <v>441</v>
      </c>
      <c r="B11" s="325">
        <v>0</v>
      </c>
      <c r="C11" s="186"/>
      <c r="D11" s="15"/>
      <c r="E11" s="187"/>
      <c r="F11" s="186"/>
      <c r="G11" s="187"/>
      <c r="H11" s="340">
        <f t="shared" si="1"/>
        <v>0</v>
      </c>
    </row>
    <row r="12" spans="1:8" x14ac:dyDescent="0.25">
      <c r="A12" s="132" t="s">
        <v>442</v>
      </c>
      <c r="B12" s="325"/>
      <c r="C12" s="186"/>
      <c r="D12" s="15"/>
      <c r="E12" s="187"/>
      <c r="F12" s="186"/>
      <c r="G12" s="187"/>
      <c r="H12" s="340">
        <f t="shared" si="1"/>
        <v>0</v>
      </c>
    </row>
    <row r="13" spans="1:8" x14ac:dyDescent="0.25">
      <c r="A13" s="133" t="s">
        <v>31</v>
      </c>
      <c r="B13" s="325"/>
      <c r="C13" s="186"/>
      <c r="D13" s="15"/>
      <c r="E13" s="187"/>
      <c r="F13" s="186"/>
      <c r="G13" s="187"/>
      <c r="H13" s="340">
        <f t="shared" si="1"/>
        <v>0</v>
      </c>
    </row>
    <row r="14" spans="1:8" x14ac:dyDescent="0.25">
      <c r="A14" s="50" t="s">
        <v>68</v>
      </c>
      <c r="B14" s="330">
        <f>SUM(B15:B22)</f>
        <v>0</v>
      </c>
      <c r="C14" s="335">
        <f t="shared" ref="C14:G14" si="2">SUM(C15:C22)</f>
        <v>685000</v>
      </c>
      <c r="D14" s="18">
        <f t="shared" si="2"/>
        <v>0</v>
      </c>
      <c r="E14" s="336">
        <f t="shared" si="2"/>
        <v>0</v>
      </c>
      <c r="F14" s="335">
        <f t="shared" si="2"/>
        <v>0</v>
      </c>
      <c r="G14" s="336">
        <f t="shared" si="2"/>
        <v>0</v>
      </c>
      <c r="H14" s="332">
        <f>B14+C14+D14+E14-F14-G14</f>
        <v>685000</v>
      </c>
    </row>
    <row r="15" spans="1:8" x14ac:dyDescent="0.25">
      <c r="A15" s="271" t="s">
        <v>443</v>
      </c>
      <c r="B15" s="325"/>
      <c r="C15" s="186"/>
      <c r="D15" s="15"/>
      <c r="E15" s="187"/>
      <c r="F15" s="186"/>
      <c r="G15" s="187"/>
      <c r="H15" s="340">
        <f t="shared" ref="H15:H22" si="3">B15+C15+D15+E15-F15-G15</f>
        <v>0</v>
      </c>
    </row>
    <row r="16" spans="1:8" x14ac:dyDescent="0.25">
      <c r="A16" s="132" t="s">
        <v>444</v>
      </c>
      <c r="B16" s="325"/>
      <c r="C16" s="186"/>
      <c r="D16" s="15"/>
      <c r="E16" s="187"/>
      <c r="F16" s="186"/>
      <c r="G16" s="187"/>
      <c r="H16" s="340">
        <f t="shared" si="3"/>
        <v>0</v>
      </c>
    </row>
    <row r="17" spans="1:8" x14ac:dyDescent="0.25">
      <c r="A17" s="132" t="s">
        <v>445</v>
      </c>
      <c r="B17" s="325"/>
      <c r="C17" s="186"/>
      <c r="D17" s="15"/>
      <c r="E17" s="187"/>
      <c r="F17" s="186"/>
      <c r="G17" s="187"/>
      <c r="H17" s="340">
        <f t="shared" si="3"/>
        <v>0</v>
      </c>
    </row>
    <row r="18" spans="1:8" x14ac:dyDescent="0.25">
      <c r="A18" s="132" t="s">
        <v>446</v>
      </c>
      <c r="B18" s="325"/>
      <c r="C18" s="186"/>
      <c r="D18" s="15"/>
      <c r="E18" s="187"/>
      <c r="F18" s="186"/>
      <c r="G18" s="187"/>
      <c r="H18" s="340">
        <f t="shared" si="3"/>
        <v>0</v>
      </c>
    </row>
    <row r="19" spans="1:8" x14ac:dyDescent="0.25">
      <c r="A19" s="132" t="s">
        <v>447</v>
      </c>
      <c r="B19" s="325"/>
      <c r="C19" s="186"/>
      <c r="D19" s="15"/>
      <c r="E19" s="187"/>
      <c r="F19" s="186"/>
      <c r="G19" s="187"/>
      <c r="H19" s="340">
        <f t="shared" si="3"/>
        <v>0</v>
      </c>
    </row>
    <row r="20" spans="1:8" x14ac:dyDescent="0.25">
      <c r="A20" s="132" t="s">
        <v>448</v>
      </c>
      <c r="B20" s="325"/>
      <c r="C20" s="186">
        <v>685000</v>
      </c>
      <c r="D20" s="15"/>
      <c r="E20" s="187"/>
      <c r="F20" s="186"/>
      <c r="G20" s="187"/>
      <c r="H20" s="340">
        <f t="shared" si="3"/>
        <v>685000</v>
      </c>
    </row>
    <row r="21" spans="1:8" x14ac:dyDescent="0.25">
      <c r="A21" s="132" t="s">
        <v>449</v>
      </c>
      <c r="B21" s="325"/>
      <c r="C21" s="186"/>
      <c r="D21" s="15"/>
      <c r="E21" s="187"/>
      <c r="F21" s="186"/>
      <c r="G21" s="187"/>
      <c r="H21" s="340">
        <f t="shared" si="3"/>
        <v>0</v>
      </c>
    </row>
    <row r="22" spans="1:8" x14ac:dyDescent="0.25">
      <c r="A22" s="133" t="s">
        <v>450</v>
      </c>
      <c r="B22" s="325"/>
      <c r="C22" s="186"/>
      <c r="D22" s="15"/>
      <c r="E22" s="187"/>
      <c r="F22" s="186"/>
      <c r="G22" s="187"/>
      <c r="H22" s="340">
        <f t="shared" si="3"/>
        <v>0</v>
      </c>
    </row>
    <row r="23" spans="1:8" x14ac:dyDescent="0.25">
      <c r="A23" s="50" t="s">
        <v>69</v>
      </c>
      <c r="B23" s="330">
        <f>SUM(B24:B25)</f>
        <v>180000</v>
      </c>
      <c r="C23" s="335">
        <f>SUM(C24:C25)</f>
        <v>0</v>
      </c>
      <c r="D23" s="441">
        <f t="shared" ref="D23:H23" si="4">SUM(D24:D25)</f>
        <v>0</v>
      </c>
      <c r="E23" s="441">
        <f t="shared" si="4"/>
        <v>0</v>
      </c>
      <c r="F23" s="441">
        <f t="shared" si="4"/>
        <v>0</v>
      </c>
      <c r="G23" s="441">
        <f t="shared" si="4"/>
        <v>0</v>
      </c>
      <c r="H23" s="441">
        <f t="shared" si="4"/>
        <v>180000</v>
      </c>
    </row>
    <row r="24" spans="1:8" x14ac:dyDescent="0.25">
      <c r="A24" s="271" t="s">
        <v>451</v>
      </c>
      <c r="B24" s="325"/>
      <c r="C24" s="186"/>
      <c r="D24" s="15"/>
      <c r="E24" s="187"/>
      <c r="F24" s="186"/>
      <c r="G24" s="187"/>
      <c r="H24" s="340">
        <f t="shared" ref="H24:H25" si="5">B24+C24+D24+E24-F24-G24</f>
        <v>0</v>
      </c>
    </row>
    <row r="25" spans="1:8" x14ac:dyDescent="0.25">
      <c r="A25" s="133" t="s">
        <v>78</v>
      </c>
      <c r="B25" s="325">
        <v>180000</v>
      </c>
      <c r="C25" s="186"/>
      <c r="D25" s="15"/>
      <c r="E25" s="187"/>
      <c r="F25" s="186"/>
      <c r="G25" s="187"/>
      <c r="H25" s="340">
        <f t="shared" si="5"/>
        <v>180000</v>
      </c>
    </row>
    <row r="26" spans="1:8" x14ac:dyDescent="0.25">
      <c r="A26" s="278" t="s">
        <v>129</v>
      </c>
      <c r="B26" s="331">
        <f>B9+B14+B23</f>
        <v>1947600</v>
      </c>
      <c r="C26" s="337">
        <f t="shared" ref="C26:H26" si="6">C9+C14+C23</f>
        <v>685000</v>
      </c>
      <c r="D26" s="279">
        <f t="shared" si="6"/>
        <v>0</v>
      </c>
      <c r="E26" s="338">
        <f t="shared" si="6"/>
        <v>0</v>
      </c>
      <c r="F26" s="337">
        <f t="shared" si="6"/>
        <v>0</v>
      </c>
      <c r="G26" s="338">
        <f t="shared" si="6"/>
        <v>0</v>
      </c>
      <c r="H26" s="333">
        <f t="shared" si="6"/>
        <v>2632600</v>
      </c>
    </row>
    <row r="28" spans="1:8" ht="14.4" x14ac:dyDescent="0.3">
      <c r="A28" s="23" t="s">
        <v>395</v>
      </c>
      <c r="B28" s="36"/>
      <c r="C28" s="36"/>
      <c r="D28" s="36"/>
    </row>
    <row r="29" spans="1:8" x14ac:dyDescent="0.25">
      <c r="A29" s="36" t="s">
        <v>1224</v>
      </c>
      <c r="B29" s="36"/>
      <c r="C29" s="36"/>
      <c r="D29" s="36"/>
    </row>
    <row r="30" spans="1:8" x14ac:dyDescent="0.25">
      <c r="A30" s="36" t="s">
        <v>1221</v>
      </c>
      <c r="B30" s="36"/>
      <c r="C30" s="36"/>
      <c r="D30" s="36"/>
    </row>
    <row r="31" spans="1:8" x14ac:dyDescent="0.25">
      <c r="A31" s="36" t="s">
        <v>405</v>
      </c>
      <c r="B31" s="36"/>
      <c r="C31" s="36"/>
      <c r="D31" s="36"/>
    </row>
  </sheetData>
  <mergeCells count="2">
    <mergeCell ref="C7:E7"/>
    <mergeCell ref="F7:G7"/>
  </mergeCells>
  <pageMargins left="0.7" right="0.7" top="0.75" bottom="0.75" header="0.3" footer="0.3"/>
  <pageSetup paperSize="9" scale="58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14"/>
  <sheetViews>
    <sheetView workbookViewId="0">
      <selection activeCell="E13" sqref="E13"/>
    </sheetView>
  </sheetViews>
  <sheetFormatPr baseColWidth="10" defaultColWidth="11.44140625" defaultRowHeight="13.8" x14ac:dyDescent="0.25"/>
  <cols>
    <col min="1" max="1" width="54.109375" style="5" customWidth="1"/>
    <col min="2" max="2" width="12" style="5" customWidth="1"/>
    <col min="3" max="3" width="14.88671875" style="5" customWidth="1"/>
    <col min="4" max="4" width="12.44140625" style="5" customWidth="1"/>
    <col min="5" max="5" width="10.88671875" style="5" customWidth="1"/>
    <col min="6" max="6" width="13.5546875" style="5" customWidth="1"/>
    <col min="7" max="7" width="10.21875" style="5" customWidth="1"/>
    <col min="8" max="8" width="11.44140625" style="5"/>
    <col min="9" max="9" width="14.21875" style="5" customWidth="1"/>
    <col min="10" max="16384" width="11.44140625" style="5"/>
  </cols>
  <sheetData>
    <row r="4" spans="1:9" x14ac:dyDescent="0.25">
      <c r="A4" s="280" t="s">
        <v>1147</v>
      </c>
      <c r="B4" s="529" t="s">
        <v>1149</v>
      </c>
      <c r="C4" s="282" t="s">
        <v>187</v>
      </c>
      <c r="D4" s="531" t="s">
        <v>416</v>
      </c>
      <c r="E4" s="505"/>
      <c r="F4" s="532"/>
      <c r="G4" s="533" t="s">
        <v>417</v>
      </c>
      <c r="H4" s="534"/>
      <c r="I4" s="197" t="s">
        <v>418</v>
      </c>
    </row>
    <row r="5" spans="1:9" ht="69" x14ac:dyDescent="0.25">
      <c r="A5" s="281" t="s">
        <v>419</v>
      </c>
      <c r="B5" s="530"/>
      <c r="C5" s="283" t="s">
        <v>420</v>
      </c>
      <c r="D5" s="284" t="s">
        <v>421</v>
      </c>
      <c r="E5" s="196" t="s">
        <v>422</v>
      </c>
      <c r="F5" s="283" t="s">
        <v>423</v>
      </c>
      <c r="G5" s="284" t="s">
        <v>424</v>
      </c>
      <c r="H5" s="283" t="s">
        <v>422</v>
      </c>
      <c r="I5" s="285" t="s">
        <v>425</v>
      </c>
    </row>
    <row r="6" spans="1:9" x14ac:dyDescent="0.25">
      <c r="A6" s="271" t="s">
        <v>42</v>
      </c>
      <c r="B6" s="15"/>
      <c r="C6" s="187"/>
      <c r="D6" s="186"/>
      <c r="E6" s="15"/>
      <c r="F6" s="187"/>
      <c r="G6" s="186"/>
      <c r="H6" s="187"/>
      <c r="I6" s="200">
        <f>C6+D6+E6+F6-G6-H6</f>
        <v>0</v>
      </c>
    </row>
    <row r="7" spans="1:9" x14ac:dyDescent="0.25">
      <c r="A7" s="132" t="s">
        <v>431</v>
      </c>
      <c r="B7" s="15"/>
      <c r="C7" s="187"/>
      <c r="D7" s="186"/>
      <c r="E7" s="15"/>
      <c r="F7" s="187"/>
      <c r="G7" s="186"/>
      <c r="H7" s="187"/>
      <c r="I7" s="200">
        <f t="shared" ref="I7:I9" si="0">C7+D7+E7+F7-G7-H7</f>
        <v>0</v>
      </c>
    </row>
    <row r="8" spans="1:9" x14ac:dyDescent="0.25">
      <c r="A8" s="132" t="s">
        <v>432</v>
      </c>
      <c r="B8" s="15"/>
      <c r="C8" s="187"/>
      <c r="D8" s="186">
        <v>0</v>
      </c>
      <c r="E8" s="15"/>
      <c r="F8" s="187"/>
      <c r="G8" s="186"/>
      <c r="H8" s="187"/>
      <c r="I8" s="200">
        <f t="shared" si="0"/>
        <v>0</v>
      </c>
    </row>
    <row r="9" spans="1:9" x14ac:dyDescent="0.25">
      <c r="A9" s="132" t="s">
        <v>452</v>
      </c>
      <c r="B9" s="15"/>
      <c r="C9" s="187"/>
      <c r="D9" s="186">
        <v>0</v>
      </c>
      <c r="E9" s="15"/>
      <c r="F9" s="187"/>
      <c r="G9" s="186"/>
      <c r="H9" s="187"/>
      <c r="I9" s="200">
        <f t="shared" si="0"/>
        <v>0</v>
      </c>
    </row>
    <row r="10" spans="1:9" ht="27.6" x14ac:dyDescent="0.25">
      <c r="A10" s="84" t="s">
        <v>453</v>
      </c>
      <c r="B10" s="170"/>
      <c r="C10" s="170">
        <f t="shared" ref="C10:I10" si="1">SUM(C6:C9)</f>
        <v>0</v>
      </c>
      <c r="D10" s="170">
        <f t="shared" si="1"/>
        <v>0</v>
      </c>
      <c r="E10" s="170">
        <f t="shared" si="1"/>
        <v>0</v>
      </c>
      <c r="F10" s="170">
        <f t="shared" si="1"/>
        <v>0</v>
      </c>
      <c r="G10" s="170">
        <f t="shared" si="1"/>
        <v>0</v>
      </c>
      <c r="H10" s="170">
        <f t="shared" si="1"/>
        <v>0</v>
      </c>
      <c r="I10" s="170">
        <f t="shared" si="1"/>
        <v>0</v>
      </c>
    </row>
    <row r="12" spans="1:9" x14ac:dyDescent="0.25">
      <c r="A12" s="535" t="s">
        <v>1150</v>
      </c>
      <c r="B12" s="535"/>
      <c r="C12" s="535"/>
      <c r="D12" s="535"/>
    </row>
    <row r="13" spans="1:9" x14ac:dyDescent="0.25">
      <c r="A13" s="535"/>
      <c r="B13" s="535"/>
      <c r="C13" s="535"/>
      <c r="D13" s="535"/>
    </row>
    <row r="14" spans="1:9" ht="14.4" x14ac:dyDescent="0.3">
      <c r="A14" s="528" t="s">
        <v>1151</v>
      </c>
      <c r="B14" s="528"/>
      <c r="C14" s="528"/>
      <c r="D14" s="528"/>
    </row>
  </sheetData>
  <mergeCells count="6">
    <mergeCell ref="A14:D14"/>
    <mergeCell ref="B4:B5"/>
    <mergeCell ref="D4:F4"/>
    <mergeCell ref="G4:H4"/>
    <mergeCell ref="A12:D12"/>
    <mergeCell ref="A13:D13"/>
  </mergeCells>
  <pageMargins left="0.7" right="0.7" top="0.75" bottom="0.75" header="0.3" footer="0.3"/>
  <pageSetup paperSize="9" scale="52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L19"/>
  <sheetViews>
    <sheetView workbookViewId="0">
      <selection activeCell="B1" sqref="B1"/>
    </sheetView>
  </sheetViews>
  <sheetFormatPr baseColWidth="10" defaultColWidth="11.44140625" defaultRowHeight="13.8" x14ac:dyDescent="0.25"/>
  <cols>
    <col min="1" max="1" width="40.77734375" style="5" customWidth="1"/>
    <col min="2" max="2" width="17.88671875" style="5" customWidth="1"/>
    <col min="3" max="3" width="15.44140625" style="5" customWidth="1"/>
    <col min="4" max="4" width="17.109375" style="5" customWidth="1"/>
    <col min="5" max="5" width="16" style="5" customWidth="1"/>
    <col min="6" max="6" width="11.44140625" style="5"/>
    <col min="7" max="7" width="17" style="5" customWidth="1"/>
    <col min="8" max="16384" width="11.44140625" style="5"/>
  </cols>
  <sheetData>
    <row r="7" spans="1:12" x14ac:dyDescent="0.25">
      <c r="A7" s="535"/>
      <c r="B7" s="535"/>
      <c r="C7" s="535"/>
      <c r="D7" s="535"/>
      <c r="E7" s="535"/>
      <c r="F7" s="535"/>
      <c r="G7" s="535"/>
      <c r="H7" s="535"/>
      <c r="I7" s="535"/>
      <c r="J7" s="535"/>
      <c r="K7" s="535"/>
      <c r="L7" s="535"/>
    </row>
    <row r="8" spans="1:12" x14ac:dyDescent="0.25">
      <c r="A8" s="538" t="s">
        <v>435</v>
      </c>
      <c r="B8" s="33" t="s">
        <v>187</v>
      </c>
      <c r="C8" s="33" t="s">
        <v>205</v>
      </c>
      <c r="D8" s="540" t="s">
        <v>216</v>
      </c>
      <c r="E8" s="540"/>
      <c r="F8" s="33" t="s">
        <v>226</v>
      </c>
      <c r="G8" s="33" t="s">
        <v>454</v>
      </c>
    </row>
    <row r="9" spans="1:12" x14ac:dyDescent="0.25">
      <c r="A9" s="539"/>
      <c r="B9" s="536" t="s">
        <v>1152</v>
      </c>
      <c r="C9" s="536" t="s">
        <v>456</v>
      </c>
      <c r="D9" s="540" t="s">
        <v>455</v>
      </c>
      <c r="E9" s="540"/>
      <c r="F9" s="536" t="s">
        <v>459</v>
      </c>
      <c r="G9" s="536" t="s">
        <v>460</v>
      </c>
    </row>
    <row r="10" spans="1:12" ht="69" x14ac:dyDescent="0.25">
      <c r="A10" s="286" t="s">
        <v>419</v>
      </c>
      <c r="B10" s="541"/>
      <c r="C10" s="541"/>
      <c r="D10" s="195" t="s">
        <v>457</v>
      </c>
      <c r="E10" s="195" t="s">
        <v>458</v>
      </c>
      <c r="F10" s="537"/>
      <c r="G10" s="537"/>
    </row>
    <row r="11" spans="1:12" x14ac:dyDescent="0.25">
      <c r="A11" s="271" t="s">
        <v>427</v>
      </c>
      <c r="B11" s="200"/>
      <c r="C11" s="15"/>
      <c r="D11" s="15"/>
      <c r="E11" s="15"/>
      <c r="F11" s="15"/>
      <c r="G11" s="15">
        <f>B11+C11-D11-E11-F11</f>
        <v>0</v>
      </c>
    </row>
    <row r="12" spans="1:12" x14ac:dyDescent="0.25">
      <c r="A12" s="132" t="s">
        <v>463</v>
      </c>
      <c r="B12" s="200"/>
      <c r="C12" s="15"/>
      <c r="D12" s="15"/>
      <c r="E12" s="15"/>
      <c r="F12" s="15"/>
      <c r="G12" s="15">
        <f t="shared" ref="G12:G13" si="0">B12+C12-D12-E12-F12</f>
        <v>0</v>
      </c>
    </row>
    <row r="13" spans="1:12" x14ac:dyDescent="0.25">
      <c r="A13" s="133" t="s">
        <v>31</v>
      </c>
      <c r="B13" s="200"/>
      <c r="C13" s="15"/>
      <c r="D13" s="15"/>
      <c r="E13" s="15"/>
      <c r="F13" s="15"/>
      <c r="G13" s="15">
        <f t="shared" si="0"/>
        <v>0</v>
      </c>
    </row>
    <row r="14" spans="1:12" ht="27.6" x14ac:dyDescent="0.25">
      <c r="A14" s="139" t="s">
        <v>461</v>
      </c>
      <c r="B14" s="287">
        <f>SUM(B11:B13)</f>
        <v>0</v>
      </c>
      <c r="C14" s="287">
        <f t="shared" ref="C14:F14" si="1">SUM(C11:C13)</f>
        <v>0</v>
      </c>
      <c r="D14" s="287">
        <f t="shared" si="1"/>
        <v>0</v>
      </c>
      <c r="E14" s="287">
        <f t="shared" si="1"/>
        <v>0</v>
      </c>
      <c r="F14" s="287">
        <f t="shared" si="1"/>
        <v>0</v>
      </c>
      <c r="G14" s="66">
        <f>B14+C14+D1-D14-E14-F14</f>
        <v>0</v>
      </c>
    </row>
    <row r="15" spans="1:12" x14ac:dyDescent="0.25">
      <c r="A15" s="288" t="s">
        <v>42</v>
      </c>
      <c r="B15" s="15"/>
      <c r="C15" s="15"/>
      <c r="D15" s="15"/>
      <c r="E15" s="15"/>
      <c r="F15" s="15"/>
      <c r="G15" s="15">
        <f>B15+C15-D15-E15-F15</f>
        <v>0</v>
      </c>
    </row>
    <row r="16" spans="1:12" x14ac:dyDescent="0.25">
      <c r="A16" s="132" t="s">
        <v>47</v>
      </c>
      <c r="B16" s="15"/>
      <c r="C16" s="15"/>
      <c r="D16" s="15"/>
      <c r="E16" s="15"/>
      <c r="F16" s="15"/>
      <c r="G16" s="15">
        <f t="shared" ref="G16:G17" si="2">B16+C16-D16-E16-F16</f>
        <v>0</v>
      </c>
    </row>
    <row r="17" spans="1:7" x14ac:dyDescent="0.25">
      <c r="A17" s="133" t="s">
        <v>462</v>
      </c>
      <c r="B17" s="15"/>
      <c r="C17" s="15"/>
      <c r="D17" s="15"/>
      <c r="E17" s="15"/>
      <c r="F17" s="15"/>
      <c r="G17" s="15">
        <f t="shared" si="2"/>
        <v>0</v>
      </c>
    </row>
    <row r="18" spans="1:7" ht="27.6" x14ac:dyDescent="0.25">
      <c r="A18" s="289" t="s">
        <v>464</v>
      </c>
      <c r="B18" s="18">
        <f>SUM(B15:B17)</f>
        <v>0</v>
      </c>
      <c r="C18" s="18">
        <f t="shared" ref="C18:F18" si="3">SUM(C15:C17)</f>
        <v>0</v>
      </c>
      <c r="D18" s="18">
        <f t="shared" si="3"/>
        <v>0</v>
      </c>
      <c r="E18" s="18">
        <f t="shared" si="3"/>
        <v>0</v>
      </c>
      <c r="F18" s="18">
        <f t="shared" si="3"/>
        <v>0</v>
      </c>
      <c r="G18" s="18">
        <f>B18+C18-D18-E18-F18</f>
        <v>0</v>
      </c>
    </row>
    <row r="19" spans="1:7" x14ac:dyDescent="0.25">
      <c r="A19" s="290" t="s">
        <v>129</v>
      </c>
      <c r="B19" s="47">
        <f>B14+B18</f>
        <v>0</v>
      </c>
      <c r="C19" s="47">
        <f>C14+C18</f>
        <v>0</v>
      </c>
      <c r="D19" s="47">
        <f t="shared" ref="D19:G19" si="4">D14+D18</f>
        <v>0</v>
      </c>
      <c r="E19" s="47">
        <f t="shared" si="4"/>
        <v>0</v>
      </c>
      <c r="F19" s="47">
        <f t="shared" si="4"/>
        <v>0</v>
      </c>
      <c r="G19" s="47">
        <f t="shared" si="4"/>
        <v>0</v>
      </c>
    </row>
  </sheetData>
  <mergeCells count="8">
    <mergeCell ref="F9:F10"/>
    <mergeCell ref="G9:G10"/>
    <mergeCell ref="A7:L7"/>
    <mergeCell ref="A8:A9"/>
    <mergeCell ref="D8:E8"/>
    <mergeCell ref="D9:E9"/>
    <mergeCell ref="B9:B10"/>
    <mergeCell ref="C9:C10"/>
  </mergeCells>
  <pageMargins left="0.7" right="0.7" top="0.75" bottom="0.75" header="0.3" footer="0.3"/>
  <pageSetup paperSize="9" scale="4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24"/>
  <sheetViews>
    <sheetView workbookViewId="0">
      <selection activeCell="C26" sqref="C26"/>
    </sheetView>
  </sheetViews>
  <sheetFormatPr baseColWidth="10" defaultColWidth="11.44140625" defaultRowHeight="13.8" x14ac:dyDescent="0.25"/>
  <cols>
    <col min="1" max="1" width="41" style="5" customWidth="1"/>
    <col min="2" max="2" width="16.77734375" style="5" customWidth="1"/>
    <col min="3" max="3" width="14.5546875" style="5" customWidth="1"/>
    <col min="4" max="4" width="16.44140625" style="5" customWidth="1"/>
    <col min="5" max="5" width="16.21875" style="5" customWidth="1"/>
    <col min="6" max="6" width="12.44140625" style="5" customWidth="1"/>
    <col min="7" max="7" width="15.44140625" style="5" customWidth="1"/>
    <col min="8" max="16384" width="11.44140625" style="5"/>
  </cols>
  <sheetData>
    <row r="4" spans="1:7" x14ac:dyDescent="0.25">
      <c r="A4" s="542" t="s">
        <v>465</v>
      </c>
      <c r="B4" s="544" t="s">
        <v>187</v>
      </c>
      <c r="C4" s="544" t="s">
        <v>205</v>
      </c>
      <c r="D4" s="546" t="s">
        <v>216</v>
      </c>
      <c r="E4" s="547"/>
      <c r="F4" s="544" t="s">
        <v>226</v>
      </c>
      <c r="G4" s="536" t="s">
        <v>466</v>
      </c>
    </row>
    <row r="5" spans="1:7" x14ac:dyDescent="0.25">
      <c r="A5" s="543"/>
      <c r="B5" s="545"/>
      <c r="C5" s="545"/>
      <c r="D5" s="548"/>
      <c r="E5" s="549"/>
      <c r="F5" s="545"/>
      <c r="G5" s="537"/>
    </row>
    <row r="6" spans="1:7" x14ac:dyDescent="0.25">
      <c r="A6" s="550" t="s">
        <v>419</v>
      </c>
      <c r="B6" s="536" t="s">
        <v>467</v>
      </c>
      <c r="C6" s="536" t="s">
        <v>468</v>
      </c>
      <c r="D6" s="552" t="s">
        <v>469</v>
      </c>
      <c r="E6" s="553"/>
      <c r="F6" s="536" t="s">
        <v>422</v>
      </c>
      <c r="G6" s="536" t="s">
        <v>470</v>
      </c>
    </row>
    <row r="7" spans="1:7" ht="55.2" x14ac:dyDescent="0.25">
      <c r="A7" s="551"/>
      <c r="B7" s="537"/>
      <c r="C7" s="537"/>
      <c r="D7" s="37" t="s">
        <v>471</v>
      </c>
      <c r="E7" s="37" t="s">
        <v>472</v>
      </c>
      <c r="F7" s="537"/>
      <c r="G7" s="537"/>
    </row>
    <row r="8" spans="1:7" x14ac:dyDescent="0.25">
      <c r="A8" s="271" t="s">
        <v>428</v>
      </c>
      <c r="B8" s="15"/>
      <c r="C8" s="15">
        <v>523459</v>
      </c>
      <c r="D8" s="15"/>
      <c r="E8" s="15"/>
      <c r="F8" s="15"/>
      <c r="G8" s="15">
        <f>B8+C8-D8-E8-F8</f>
        <v>523459</v>
      </c>
    </row>
    <row r="9" spans="1:7" x14ac:dyDescent="0.25">
      <c r="A9" s="132" t="s">
        <v>441</v>
      </c>
      <c r="B9" s="15"/>
      <c r="C9" s="15"/>
      <c r="D9" s="15"/>
      <c r="E9" s="15"/>
      <c r="F9" s="15"/>
      <c r="G9" s="15">
        <f t="shared" ref="G9:G10" si="0">B9+C9-D9-E9-F9</f>
        <v>0</v>
      </c>
    </row>
    <row r="10" spans="1:7" x14ac:dyDescent="0.25">
      <c r="A10" s="133" t="s">
        <v>429</v>
      </c>
      <c r="B10" s="15"/>
      <c r="C10" s="15"/>
      <c r="D10" s="15"/>
      <c r="E10" s="15"/>
      <c r="F10" s="15"/>
      <c r="G10" s="15">
        <f t="shared" si="0"/>
        <v>0</v>
      </c>
    </row>
    <row r="11" spans="1:7" ht="27.6" x14ac:dyDescent="0.25">
      <c r="A11" s="289" t="s">
        <v>473</v>
      </c>
      <c r="B11" s="18">
        <f>SUM(B8:B10)</f>
        <v>0</v>
      </c>
      <c r="C11" s="18">
        <f t="shared" ref="C11:G11" si="1">SUM(C8:C10)</f>
        <v>523459</v>
      </c>
      <c r="D11" s="18">
        <f t="shared" si="1"/>
        <v>0</v>
      </c>
      <c r="E11" s="18">
        <f t="shared" si="1"/>
        <v>0</v>
      </c>
      <c r="F11" s="18">
        <f t="shared" si="1"/>
        <v>0</v>
      </c>
      <c r="G11" s="18">
        <f t="shared" si="1"/>
        <v>523459</v>
      </c>
    </row>
    <row r="12" spans="1:7" x14ac:dyDescent="0.25">
      <c r="A12" s="271" t="s">
        <v>443</v>
      </c>
      <c r="B12" s="15"/>
      <c r="C12" s="15"/>
      <c r="D12" s="15"/>
      <c r="E12" s="15"/>
      <c r="F12" s="15"/>
      <c r="G12" s="15">
        <f>B12+C12-D12-E12-F12</f>
        <v>0</v>
      </c>
    </row>
    <row r="13" spans="1:7" x14ac:dyDescent="0.25">
      <c r="A13" s="132" t="s">
        <v>474</v>
      </c>
      <c r="B13" s="15"/>
      <c r="C13" s="15"/>
      <c r="D13" s="15"/>
      <c r="E13" s="15"/>
      <c r="F13" s="15"/>
      <c r="G13" s="15">
        <f t="shared" ref="G13:G18" si="2">B13+C13-D13-E13-F13</f>
        <v>0</v>
      </c>
    </row>
    <row r="14" spans="1:7" x14ac:dyDescent="0.25">
      <c r="A14" s="132" t="s">
        <v>475</v>
      </c>
      <c r="B14" s="15"/>
      <c r="C14" s="15"/>
      <c r="D14" s="15"/>
      <c r="E14" s="15"/>
      <c r="F14" s="15"/>
      <c r="G14" s="15">
        <f t="shared" si="2"/>
        <v>0</v>
      </c>
    </row>
    <row r="15" spans="1:7" x14ac:dyDescent="0.25">
      <c r="A15" s="291" t="s">
        <v>476</v>
      </c>
      <c r="B15" s="15"/>
      <c r="C15" s="15"/>
      <c r="D15" s="15"/>
      <c r="E15" s="15"/>
      <c r="F15" s="15"/>
      <c r="G15" s="15">
        <f t="shared" si="2"/>
        <v>0</v>
      </c>
    </row>
    <row r="16" spans="1:7" x14ac:dyDescent="0.25">
      <c r="A16" s="132" t="s">
        <v>477</v>
      </c>
      <c r="B16" s="15"/>
      <c r="C16" s="15"/>
      <c r="D16" s="15"/>
      <c r="E16" s="15"/>
      <c r="F16" s="15"/>
      <c r="G16" s="15">
        <f t="shared" si="2"/>
        <v>0</v>
      </c>
    </row>
    <row r="17" spans="1:7" x14ac:dyDescent="0.25">
      <c r="A17" s="132" t="s">
        <v>478</v>
      </c>
      <c r="B17" s="15"/>
      <c r="C17" s="15">
        <v>122362</v>
      </c>
      <c r="D17" s="15"/>
      <c r="E17" s="15"/>
      <c r="F17" s="15"/>
      <c r="G17" s="15">
        <f t="shared" si="2"/>
        <v>122362</v>
      </c>
    </row>
    <row r="18" spans="1:7" x14ac:dyDescent="0.25">
      <c r="A18" s="133" t="s">
        <v>449</v>
      </c>
      <c r="B18" s="15"/>
      <c r="C18" s="15"/>
      <c r="D18" s="15"/>
      <c r="E18" s="15"/>
      <c r="F18" s="15"/>
      <c r="G18" s="15">
        <f t="shared" si="2"/>
        <v>0</v>
      </c>
    </row>
    <row r="19" spans="1:7" ht="27.6" x14ac:dyDescent="0.25">
      <c r="A19" s="289" t="s">
        <v>479</v>
      </c>
      <c r="B19" s="18">
        <f>SUM(B12:B18)</f>
        <v>0</v>
      </c>
      <c r="C19" s="18">
        <f t="shared" ref="C19:G19" si="3">SUM(C12:C18)</f>
        <v>122362</v>
      </c>
      <c r="D19" s="18">
        <f t="shared" si="3"/>
        <v>0</v>
      </c>
      <c r="E19" s="18">
        <f t="shared" si="3"/>
        <v>0</v>
      </c>
      <c r="F19" s="18">
        <f t="shared" si="3"/>
        <v>0</v>
      </c>
      <c r="G19" s="18">
        <f t="shared" si="3"/>
        <v>122362</v>
      </c>
    </row>
    <row r="20" spans="1:7" x14ac:dyDescent="0.25">
      <c r="A20" s="31" t="s">
        <v>129</v>
      </c>
      <c r="B20" s="47">
        <f>B11+B19</f>
        <v>0</v>
      </c>
      <c r="C20" s="47">
        <f t="shared" ref="C20:G20" si="4">C11+C19</f>
        <v>645821</v>
      </c>
      <c r="D20" s="47">
        <f t="shared" si="4"/>
        <v>0</v>
      </c>
      <c r="E20" s="47">
        <f t="shared" si="4"/>
        <v>0</v>
      </c>
      <c r="F20" s="47">
        <f t="shared" si="4"/>
        <v>0</v>
      </c>
      <c r="G20" s="47">
        <f t="shared" si="4"/>
        <v>645821</v>
      </c>
    </row>
    <row r="21" spans="1:7" ht="14.4" x14ac:dyDescent="0.3">
      <c r="A21" s="292" t="s">
        <v>1153</v>
      </c>
    </row>
    <row r="23" spans="1:7" x14ac:dyDescent="0.25">
      <c r="A23" s="36" t="s">
        <v>1225</v>
      </c>
    </row>
    <row r="24" spans="1:7" x14ac:dyDescent="0.25">
      <c r="A24" s="36" t="s">
        <v>405</v>
      </c>
    </row>
  </sheetData>
  <mergeCells count="12">
    <mergeCell ref="G6:G7"/>
    <mergeCell ref="A4:A5"/>
    <mergeCell ref="B4:B5"/>
    <mergeCell ref="C4:C5"/>
    <mergeCell ref="D4:E5"/>
    <mergeCell ref="F4:F5"/>
    <mergeCell ref="G4:G5"/>
    <mergeCell ref="A6:A7"/>
    <mergeCell ref="B6:B7"/>
    <mergeCell ref="C6:C7"/>
    <mergeCell ref="D6:E6"/>
    <mergeCell ref="F6:F7"/>
  </mergeCells>
  <pageMargins left="0.7" right="0.7" top="0.75" bottom="0.75" header="0.3" footer="0.3"/>
  <pageSetup paperSize="9" scale="6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26"/>
  <sheetViews>
    <sheetView workbookViewId="0">
      <selection activeCell="E1" sqref="E1"/>
    </sheetView>
  </sheetViews>
  <sheetFormatPr baseColWidth="10" defaultColWidth="11.44140625" defaultRowHeight="13.8" x14ac:dyDescent="0.25"/>
  <cols>
    <col min="1" max="1" width="59.77734375" style="5" customWidth="1"/>
    <col min="2" max="2" width="19.88671875" style="5" customWidth="1"/>
    <col min="3" max="3" width="21" style="5" customWidth="1"/>
    <col min="4" max="4" width="16" style="5" customWidth="1"/>
    <col min="5" max="5" width="19.77734375" style="5" customWidth="1"/>
    <col min="6" max="16384" width="11.44140625" style="5"/>
  </cols>
  <sheetData>
    <row r="4" spans="1:5" x14ac:dyDescent="0.25">
      <c r="A4" s="293" t="s">
        <v>465</v>
      </c>
      <c r="B4" s="38" t="s">
        <v>187</v>
      </c>
      <c r="C4" s="38" t="s">
        <v>205</v>
      </c>
      <c r="D4" s="38" t="s">
        <v>216</v>
      </c>
      <c r="E4" s="38" t="s">
        <v>1173</v>
      </c>
    </row>
    <row r="5" spans="1:5" ht="55.2" x14ac:dyDescent="0.25">
      <c r="A5" s="294" t="s">
        <v>419</v>
      </c>
      <c r="B5" s="37" t="s">
        <v>480</v>
      </c>
      <c r="C5" s="37" t="s">
        <v>481</v>
      </c>
      <c r="D5" s="37" t="s">
        <v>482</v>
      </c>
      <c r="E5" s="328" t="s">
        <v>483</v>
      </c>
    </row>
    <row r="6" spans="1:5" x14ac:dyDescent="0.25">
      <c r="A6" s="271" t="s">
        <v>428</v>
      </c>
      <c r="B6" s="164"/>
      <c r="C6" s="164"/>
      <c r="D6" s="164"/>
      <c r="E6" s="342">
        <f>B6+C6-D6</f>
        <v>0</v>
      </c>
    </row>
    <row r="7" spans="1:5" x14ac:dyDescent="0.25">
      <c r="A7" s="132" t="s">
        <v>441</v>
      </c>
      <c r="B7" s="164"/>
      <c r="C7" s="164"/>
      <c r="D7" s="164"/>
      <c r="E7" s="342">
        <f t="shared" ref="E7:E9" si="0">B7+C7-D7</f>
        <v>0</v>
      </c>
    </row>
    <row r="8" spans="1:5" x14ac:dyDescent="0.25">
      <c r="A8" s="132" t="s">
        <v>484</v>
      </c>
      <c r="B8" s="164"/>
      <c r="C8" s="164"/>
      <c r="D8" s="164"/>
      <c r="E8" s="342">
        <f t="shared" si="0"/>
        <v>0</v>
      </c>
    </row>
    <row r="9" spans="1:5" x14ac:dyDescent="0.25">
      <c r="A9" s="133" t="s">
        <v>429</v>
      </c>
      <c r="B9" s="164"/>
      <c r="C9" s="164"/>
      <c r="D9" s="164"/>
      <c r="E9" s="342">
        <f t="shared" si="0"/>
        <v>0</v>
      </c>
    </row>
    <row r="10" spans="1:5" x14ac:dyDescent="0.25">
      <c r="A10" s="295" t="s">
        <v>473</v>
      </c>
      <c r="B10" s="121">
        <f>SUM(B6:B9)</f>
        <v>0</v>
      </c>
      <c r="C10" s="121">
        <f t="shared" ref="C10:E10" si="1">SUM(C6:C9)</f>
        <v>0</v>
      </c>
      <c r="D10" s="121">
        <f t="shared" si="1"/>
        <v>0</v>
      </c>
      <c r="E10" s="343">
        <f t="shared" si="1"/>
        <v>0</v>
      </c>
    </row>
    <row r="11" spans="1:5" x14ac:dyDescent="0.25">
      <c r="A11" s="271" t="s">
        <v>485</v>
      </c>
      <c r="B11" s="164"/>
      <c r="C11" s="164"/>
      <c r="D11" s="164"/>
      <c r="E11" s="342">
        <f>B11+C11-D11</f>
        <v>0</v>
      </c>
    </row>
    <row r="12" spans="1:5" x14ac:dyDescent="0.25">
      <c r="A12" s="132" t="s">
        <v>474</v>
      </c>
      <c r="B12" s="164"/>
      <c r="C12" s="164"/>
      <c r="D12" s="164"/>
      <c r="E12" s="342">
        <f t="shared" ref="E12:E18" si="2">B12+C12-D12</f>
        <v>0</v>
      </c>
    </row>
    <row r="13" spans="1:5" x14ac:dyDescent="0.25">
      <c r="A13" s="132" t="s">
        <v>475</v>
      </c>
      <c r="B13" s="164"/>
      <c r="C13" s="164"/>
      <c r="D13" s="164"/>
      <c r="E13" s="342">
        <f t="shared" si="2"/>
        <v>0</v>
      </c>
    </row>
    <row r="14" spans="1:5" x14ac:dyDescent="0.25">
      <c r="A14" s="291" t="s">
        <v>476</v>
      </c>
      <c r="B14" s="164"/>
      <c r="C14" s="164"/>
      <c r="D14" s="164"/>
      <c r="E14" s="342">
        <f t="shared" si="2"/>
        <v>0</v>
      </c>
    </row>
    <row r="15" spans="1:5" x14ac:dyDescent="0.25">
      <c r="A15" s="132" t="s">
        <v>477</v>
      </c>
      <c r="B15" s="164"/>
      <c r="C15" s="164"/>
      <c r="D15" s="164"/>
      <c r="E15" s="342">
        <f t="shared" si="2"/>
        <v>0</v>
      </c>
    </row>
    <row r="16" spans="1:5" x14ac:dyDescent="0.25">
      <c r="A16" s="132" t="s">
        <v>478</v>
      </c>
      <c r="B16" s="164"/>
      <c r="C16" s="164"/>
      <c r="D16" s="164"/>
      <c r="E16" s="342">
        <f t="shared" si="2"/>
        <v>0</v>
      </c>
    </row>
    <row r="17" spans="1:5" x14ac:dyDescent="0.25">
      <c r="A17" s="132" t="s">
        <v>449</v>
      </c>
      <c r="B17" s="164"/>
      <c r="C17" s="164"/>
      <c r="D17" s="164"/>
      <c r="E17" s="342">
        <f t="shared" si="2"/>
        <v>0</v>
      </c>
    </row>
    <row r="18" spans="1:5" x14ac:dyDescent="0.25">
      <c r="A18" s="133" t="s">
        <v>486</v>
      </c>
      <c r="B18" s="164"/>
      <c r="C18" s="164"/>
      <c r="D18" s="164"/>
      <c r="E18" s="342">
        <f t="shared" si="2"/>
        <v>0</v>
      </c>
    </row>
    <row r="19" spans="1:5" x14ac:dyDescent="0.25">
      <c r="A19" s="295" t="s">
        <v>479</v>
      </c>
      <c r="B19" s="121">
        <f>SUM(B11:B18)</f>
        <v>0</v>
      </c>
      <c r="C19" s="121">
        <f t="shared" ref="C19:E19" si="3">SUM(C11:C18)</f>
        <v>0</v>
      </c>
      <c r="D19" s="121">
        <f t="shared" si="3"/>
        <v>0</v>
      </c>
      <c r="E19" s="343">
        <f t="shared" si="3"/>
        <v>0</v>
      </c>
    </row>
    <row r="20" spans="1:5" x14ac:dyDescent="0.25">
      <c r="A20" s="296" t="s">
        <v>451</v>
      </c>
      <c r="B20" s="164"/>
      <c r="C20" s="164"/>
      <c r="D20" s="164"/>
      <c r="E20" s="342">
        <f>B20+C20-D20</f>
        <v>0</v>
      </c>
    </row>
    <row r="21" spans="1:5" x14ac:dyDescent="0.25">
      <c r="A21" s="297" t="s">
        <v>78</v>
      </c>
      <c r="B21" s="164"/>
      <c r="C21" s="164"/>
      <c r="D21" s="164"/>
      <c r="E21" s="342">
        <f>B21+C21-D21</f>
        <v>0</v>
      </c>
    </row>
    <row r="22" spans="1:5" x14ac:dyDescent="0.25">
      <c r="A22" s="295" t="s">
        <v>487</v>
      </c>
      <c r="B22" s="121">
        <f>SUM(B20:B21)</f>
        <v>0</v>
      </c>
      <c r="C22" s="121">
        <f t="shared" ref="C22:E22" si="4">SUM(C20:C21)</f>
        <v>0</v>
      </c>
      <c r="D22" s="121">
        <f t="shared" si="4"/>
        <v>0</v>
      </c>
      <c r="E22" s="343">
        <f t="shared" si="4"/>
        <v>0</v>
      </c>
    </row>
    <row r="23" spans="1:5" ht="9" customHeight="1" x14ac:dyDescent="0.25">
      <c r="A23" s="298"/>
      <c r="B23" s="15"/>
      <c r="C23" s="15"/>
      <c r="D23" s="15"/>
      <c r="E23" s="342"/>
    </row>
    <row r="24" spans="1:5" x14ac:dyDescent="0.25">
      <c r="A24" s="299" t="s">
        <v>488</v>
      </c>
      <c r="B24" s="364">
        <f>B10+B19+B22</f>
        <v>0</v>
      </c>
      <c r="C24" s="364">
        <f t="shared" ref="C24:E24" si="5">C10+C19+C22</f>
        <v>0</v>
      </c>
      <c r="D24" s="364">
        <f t="shared" si="5"/>
        <v>0</v>
      </c>
      <c r="E24" s="365">
        <f t="shared" si="5"/>
        <v>0</v>
      </c>
    </row>
    <row r="25" spans="1:5" x14ac:dyDescent="0.25">
      <c r="A25" s="300" t="s">
        <v>1154</v>
      </c>
    </row>
    <row r="26" spans="1:5" x14ac:dyDescent="0.25">
      <c r="A26" s="36" t="s">
        <v>489</v>
      </c>
    </row>
  </sheetData>
  <pageMargins left="0.7" right="0.7" top="0.75" bottom="0.75" header="0.3" footer="0.3"/>
  <pageSetup paperSize="9" scale="5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25"/>
  <sheetViews>
    <sheetView workbookViewId="0">
      <selection activeCell="H1" sqref="H1"/>
    </sheetView>
  </sheetViews>
  <sheetFormatPr baseColWidth="10" defaultColWidth="11.44140625" defaultRowHeight="13.8" x14ac:dyDescent="0.25"/>
  <cols>
    <col min="1" max="1" width="51.5546875" style="5" customWidth="1"/>
    <col min="2" max="2" width="11.88671875" style="5" customWidth="1"/>
    <col min="3" max="3" width="17" style="5" customWidth="1"/>
    <col min="4" max="4" width="11.77734375" style="5" customWidth="1"/>
    <col min="5" max="5" width="10.109375" style="5" customWidth="1"/>
    <col min="6" max="6" width="13.77734375" style="5" customWidth="1"/>
    <col min="7" max="16384" width="11.44140625" style="5"/>
  </cols>
  <sheetData>
    <row r="6" spans="1:6" x14ac:dyDescent="0.25">
      <c r="A6" s="305" t="s">
        <v>465</v>
      </c>
      <c r="B6" s="536" t="s">
        <v>490</v>
      </c>
      <c r="C6" s="536" t="s">
        <v>491</v>
      </c>
      <c r="D6" s="536" t="s">
        <v>492</v>
      </c>
      <c r="E6" s="536" t="s">
        <v>493</v>
      </c>
      <c r="F6" s="536" t="s">
        <v>494</v>
      </c>
    </row>
    <row r="7" spans="1:6" x14ac:dyDescent="0.25">
      <c r="A7" s="306"/>
      <c r="B7" s="541"/>
      <c r="C7" s="541"/>
      <c r="D7" s="541"/>
      <c r="E7" s="541"/>
      <c r="F7" s="541"/>
    </row>
    <row r="8" spans="1:6" x14ac:dyDescent="0.25">
      <c r="A8" s="306"/>
      <c r="B8" s="541"/>
      <c r="C8" s="541"/>
      <c r="D8" s="541"/>
      <c r="E8" s="541"/>
      <c r="F8" s="541"/>
    </row>
    <row r="9" spans="1:6" x14ac:dyDescent="0.25">
      <c r="A9" s="302" t="s">
        <v>419</v>
      </c>
      <c r="B9" s="537"/>
      <c r="C9" s="537"/>
      <c r="D9" s="537"/>
      <c r="E9" s="537"/>
      <c r="F9" s="537"/>
    </row>
    <row r="10" spans="1:6" x14ac:dyDescent="0.25">
      <c r="A10" s="271" t="s">
        <v>428</v>
      </c>
      <c r="B10" s="15"/>
      <c r="C10" s="15"/>
      <c r="D10" s="15">
        <f>B10-C10</f>
        <v>0</v>
      </c>
      <c r="E10" s="15"/>
      <c r="F10" s="15">
        <f>E10-D10</f>
        <v>0</v>
      </c>
    </row>
    <row r="11" spans="1:6" x14ac:dyDescent="0.25">
      <c r="A11" s="132" t="s">
        <v>441</v>
      </c>
      <c r="B11" s="15"/>
      <c r="C11" s="15"/>
      <c r="D11" s="15">
        <f>B11-C11</f>
        <v>0</v>
      </c>
      <c r="E11" s="15"/>
      <c r="F11" s="15">
        <f t="shared" ref="F11:F12" si="0">E11-D11</f>
        <v>0</v>
      </c>
    </row>
    <row r="12" spans="1:6" x14ac:dyDescent="0.25">
      <c r="A12" s="133" t="s">
        <v>429</v>
      </c>
      <c r="B12" s="15"/>
      <c r="C12" s="15"/>
      <c r="D12" s="15">
        <f>B12-C12</f>
        <v>0</v>
      </c>
      <c r="E12" s="15"/>
      <c r="F12" s="15">
        <f t="shared" si="0"/>
        <v>0</v>
      </c>
    </row>
    <row r="13" spans="1:6" ht="27.6" x14ac:dyDescent="0.25">
      <c r="A13" s="303" t="s">
        <v>473</v>
      </c>
      <c r="B13" s="18">
        <f>SUM(B10:B12)</f>
        <v>0</v>
      </c>
      <c r="C13" s="18">
        <f t="shared" ref="C13:F13" si="1">SUM(C10:C12)</f>
        <v>0</v>
      </c>
      <c r="D13" s="18">
        <f t="shared" si="1"/>
        <v>0</v>
      </c>
      <c r="E13" s="18">
        <f t="shared" si="1"/>
        <v>0</v>
      </c>
      <c r="F13" s="18">
        <f t="shared" si="1"/>
        <v>0</v>
      </c>
    </row>
    <row r="14" spans="1:6" x14ac:dyDescent="0.25">
      <c r="A14" s="271" t="s">
        <v>495</v>
      </c>
      <c r="B14" s="15"/>
      <c r="C14" s="15"/>
      <c r="D14" s="15">
        <f>B14-C14</f>
        <v>0</v>
      </c>
      <c r="E14" s="15"/>
      <c r="F14" s="15">
        <f>E14-D14</f>
        <v>0</v>
      </c>
    </row>
    <row r="15" spans="1:6" x14ac:dyDescent="0.25">
      <c r="A15" s="132" t="s">
        <v>496</v>
      </c>
      <c r="B15" s="15"/>
      <c r="C15" s="15"/>
      <c r="D15" s="15">
        <f t="shared" ref="D15:D18" si="2">B15-C15</f>
        <v>0</v>
      </c>
      <c r="E15" s="15"/>
      <c r="F15" s="15">
        <f t="shared" ref="F15:F18" si="3">E15-D15</f>
        <v>0</v>
      </c>
    </row>
    <row r="16" spans="1:6" x14ac:dyDescent="0.25">
      <c r="A16" s="132" t="s">
        <v>477</v>
      </c>
      <c r="B16" s="15"/>
      <c r="C16" s="15"/>
      <c r="D16" s="15">
        <f t="shared" si="2"/>
        <v>0</v>
      </c>
      <c r="E16" s="15"/>
      <c r="F16" s="15">
        <f t="shared" si="3"/>
        <v>0</v>
      </c>
    </row>
    <row r="17" spans="1:6" x14ac:dyDescent="0.25">
      <c r="A17" s="132" t="s">
        <v>478</v>
      </c>
      <c r="B17" s="15"/>
      <c r="C17" s="15"/>
      <c r="D17" s="15">
        <f t="shared" si="2"/>
        <v>0</v>
      </c>
      <c r="E17" s="15"/>
      <c r="F17" s="15">
        <f t="shared" si="3"/>
        <v>0</v>
      </c>
    </row>
    <row r="18" spans="1:6" x14ac:dyDescent="0.25">
      <c r="A18" s="132" t="s">
        <v>449</v>
      </c>
      <c r="B18" s="15"/>
      <c r="C18" s="15"/>
      <c r="D18" s="15">
        <f t="shared" si="2"/>
        <v>0</v>
      </c>
      <c r="E18" s="15"/>
      <c r="F18" s="15">
        <f t="shared" si="3"/>
        <v>0</v>
      </c>
    </row>
    <row r="19" spans="1:6" x14ac:dyDescent="0.25">
      <c r="A19" s="303" t="s">
        <v>479</v>
      </c>
      <c r="B19" s="18">
        <f>SUM(B14:B18)</f>
        <v>0</v>
      </c>
      <c r="C19" s="18">
        <f t="shared" ref="C19:F19" si="4">SUM(C14:C18)</f>
        <v>0</v>
      </c>
      <c r="D19" s="18">
        <f t="shared" si="4"/>
        <v>0</v>
      </c>
      <c r="E19" s="18">
        <f t="shared" si="4"/>
        <v>0</v>
      </c>
      <c r="F19" s="18">
        <f t="shared" si="4"/>
        <v>0</v>
      </c>
    </row>
    <row r="20" spans="1:6" x14ac:dyDescent="0.25">
      <c r="A20" s="296" t="s">
        <v>434</v>
      </c>
      <c r="B20" s="15"/>
      <c r="C20" s="15"/>
      <c r="D20" s="15">
        <f>B20-C20</f>
        <v>0</v>
      </c>
      <c r="E20" s="15"/>
      <c r="F20" s="15">
        <f>E20-D20</f>
        <v>0</v>
      </c>
    </row>
    <row r="21" spans="1:6" x14ac:dyDescent="0.25">
      <c r="A21" s="297" t="s">
        <v>78</v>
      </c>
      <c r="B21" s="15"/>
      <c r="C21" s="15"/>
      <c r="D21" s="15">
        <f>B21-C21</f>
        <v>0</v>
      </c>
      <c r="E21" s="15"/>
      <c r="F21" s="15">
        <f>E21-D21</f>
        <v>0</v>
      </c>
    </row>
    <row r="22" spans="1:6" x14ac:dyDescent="0.25">
      <c r="A22" s="303" t="s">
        <v>487</v>
      </c>
      <c r="B22" s="18">
        <f>SUM(B20:B21)</f>
        <v>0</v>
      </c>
      <c r="C22" s="18">
        <f t="shared" ref="C22:F22" si="5">SUM(C20:C21)</f>
        <v>0</v>
      </c>
      <c r="D22" s="18">
        <f t="shared" si="5"/>
        <v>0</v>
      </c>
      <c r="E22" s="18">
        <f t="shared" si="5"/>
        <v>0</v>
      </c>
      <c r="F22" s="18">
        <f t="shared" si="5"/>
        <v>0</v>
      </c>
    </row>
    <row r="23" spans="1:6" x14ac:dyDescent="0.25">
      <c r="A23" s="304" t="s">
        <v>129</v>
      </c>
      <c r="B23" s="364">
        <f>B13+B19+B22</f>
        <v>0</v>
      </c>
      <c r="C23" s="364">
        <f t="shared" ref="C23:F23" si="6">C13+C19+C22</f>
        <v>0</v>
      </c>
      <c r="D23" s="364">
        <f t="shared" si="6"/>
        <v>0</v>
      </c>
      <c r="E23" s="364">
        <f t="shared" si="6"/>
        <v>0</v>
      </c>
      <c r="F23" s="364">
        <f t="shared" si="6"/>
        <v>0</v>
      </c>
    </row>
    <row r="25" spans="1:6" ht="14.4" x14ac:dyDescent="0.3">
      <c r="A25" s="36" t="s">
        <v>1155</v>
      </c>
    </row>
  </sheetData>
  <mergeCells count="5">
    <mergeCell ref="B6:B9"/>
    <mergeCell ref="C6:C9"/>
    <mergeCell ref="D6:D9"/>
    <mergeCell ref="E6:E9"/>
    <mergeCell ref="F6:F9"/>
  </mergeCells>
  <pageMargins left="0.7" right="0.7" top="0.75" bottom="0.75" header="0.3" footer="0.3"/>
  <pageSetup paperSize="9" scale="68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D25"/>
  <sheetViews>
    <sheetView workbookViewId="0">
      <selection activeCell="D1" sqref="D1"/>
    </sheetView>
  </sheetViews>
  <sheetFormatPr baseColWidth="10" defaultColWidth="11.44140625" defaultRowHeight="13.8" x14ac:dyDescent="0.25"/>
  <cols>
    <col min="1" max="1" width="41.77734375" style="5" customWidth="1"/>
    <col min="2" max="3" width="11.44140625" style="5"/>
    <col min="4" max="4" width="16.21875" style="5" customWidth="1"/>
    <col min="5" max="16384" width="11.44140625" style="5"/>
  </cols>
  <sheetData>
    <row r="6" spans="1:4" ht="45" customHeight="1" x14ac:dyDescent="0.25">
      <c r="A6" s="554" t="s">
        <v>497</v>
      </c>
      <c r="B6" s="554"/>
      <c r="C6" s="554"/>
      <c r="D6" s="554"/>
    </row>
    <row r="7" spans="1:4" ht="55.2" x14ac:dyDescent="0.25">
      <c r="A7" s="37" t="s">
        <v>498</v>
      </c>
      <c r="B7" s="37" t="s">
        <v>499</v>
      </c>
      <c r="C7" s="37" t="s">
        <v>500</v>
      </c>
      <c r="D7" s="37" t="s">
        <v>501</v>
      </c>
    </row>
    <row r="8" spans="1:4" x14ac:dyDescent="0.25">
      <c r="A8" s="167"/>
      <c r="B8" s="167"/>
      <c r="C8" s="167"/>
      <c r="D8" s="167"/>
    </row>
    <row r="9" spans="1:4" x14ac:dyDescent="0.25">
      <c r="A9" s="16"/>
      <c r="B9" s="16"/>
      <c r="C9" s="16"/>
      <c r="D9" s="16"/>
    </row>
    <row r="10" spans="1:4" x14ac:dyDescent="0.25">
      <c r="A10" s="16"/>
      <c r="B10" s="16"/>
      <c r="C10" s="16"/>
      <c r="D10" s="16"/>
    </row>
    <row r="11" spans="1:4" x14ac:dyDescent="0.25">
      <c r="A11" s="16"/>
      <c r="B11" s="16"/>
      <c r="C11" s="16"/>
      <c r="D11" s="16"/>
    </row>
    <row r="12" spans="1:4" x14ac:dyDescent="0.25">
      <c r="A12" s="16"/>
      <c r="B12" s="16"/>
      <c r="C12" s="16"/>
      <c r="D12" s="16"/>
    </row>
    <row r="13" spans="1:4" x14ac:dyDescent="0.25">
      <c r="A13" s="16"/>
      <c r="B13" s="16"/>
      <c r="C13" s="16"/>
      <c r="D13" s="16"/>
    </row>
    <row r="14" spans="1:4" x14ac:dyDescent="0.25">
      <c r="A14" s="16"/>
      <c r="B14" s="16"/>
      <c r="C14" s="16"/>
      <c r="D14" s="16"/>
    </row>
    <row r="15" spans="1:4" x14ac:dyDescent="0.25">
      <c r="A15" s="307" t="s">
        <v>129</v>
      </c>
      <c r="B15" s="308">
        <f>SUM(B8:B14)</f>
        <v>0</v>
      </c>
      <c r="C15" s="308">
        <f t="shared" ref="C15:D15" si="0">SUM(C8:C14)</f>
        <v>0</v>
      </c>
      <c r="D15" s="308">
        <f t="shared" si="0"/>
        <v>0</v>
      </c>
    </row>
    <row r="16" spans="1:4" x14ac:dyDescent="0.25">
      <c r="A16" s="555" t="s">
        <v>502</v>
      </c>
      <c r="B16" s="555"/>
      <c r="C16" s="555"/>
      <c r="D16" s="555"/>
    </row>
    <row r="17" spans="1:4" x14ac:dyDescent="0.25">
      <c r="A17" s="555"/>
      <c r="B17" s="555"/>
      <c r="C17" s="555"/>
      <c r="D17" s="555"/>
    </row>
    <row r="18" spans="1:4" x14ac:dyDescent="0.25">
      <c r="A18" s="555"/>
      <c r="B18" s="555"/>
      <c r="C18" s="555"/>
      <c r="D18" s="555"/>
    </row>
    <row r="19" spans="1:4" x14ac:dyDescent="0.25">
      <c r="A19" s="555"/>
      <c r="B19" s="555"/>
      <c r="C19" s="555"/>
      <c r="D19" s="555"/>
    </row>
    <row r="20" spans="1:4" x14ac:dyDescent="0.25">
      <c r="A20" s="554" t="s">
        <v>503</v>
      </c>
      <c r="B20" s="554"/>
      <c r="C20" s="554"/>
      <c r="D20" s="554"/>
    </row>
    <row r="21" spans="1:4" x14ac:dyDescent="0.25">
      <c r="A21" s="554"/>
      <c r="B21" s="554"/>
      <c r="C21" s="554"/>
      <c r="D21" s="554"/>
    </row>
    <row r="22" spans="1:4" x14ac:dyDescent="0.25">
      <c r="A22" s="554"/>
      <c r="B22" s="554"/>
      <c r="C22" s="554"/>
      <c r="D22" s="554"/>
    </row>
    <row r="23" spans="1:4" x14ac:dyDescent="0.25">
      <c r="A23" s="554"/>
      <c r="B23" s="554"/>
      <c r="C23" s="554"/>
      <c r="D23" s="554"/>
    </row>
    <row r="24" spans="1:4" x14ac:dyDescent="0.25">
      <c r="A24" s="554"/>
      <c r="B24" s="554"/>
      <c r="C24" s="554"/>
      <c r="D24" s="554"/>
    </row>
    <row r="25" spans="1:4" x14ac:dyDescent="0.25">
      <c r="A25" s="556" t="s">
        <v>504</v>
      </c>
      <c r="B25" s="556"/>
      <c r="C25" s="556"/>
      <c r="D25" s="556"/>
    </row>
  </sheetData>
  <mergeCells count="4">
    <mergeCell ref="A6:D6"/>
    <mergeCell ref="A16:D19"/>
    <mergeCell ref="A20:D24"/>
    <mergeCell ref="A25:D25"/>
  </mergeCells>
  <pageMargins left="0.7" right="0.7" top="0.75" bottom="0.75" header="0.3" footer="0.3"/>
  <pageSetup paperSize="9" scale="94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24"/>
  <sheetViews>
    <sheetView topLeftCell="A5" workbookViewId="0">
      <selection activeCell="B18" sqref="B18:D18"/>
    </sheetView>
  </sheetViews>
  <sheetFormatPr baseColWidth="10" defaultColWidth="11.44140625" defaultRowHeight="13.8" x14ac:dyDescent="0.25"/>
  <cols>
    <col min="1" max="1" width="32.21875" style="5" customWidth="1"/>
    <col min="2" max="3" width="8.21875" style="5" customWidth="1"/>
    <col min="4" max="4" width="11.44140625" style="5"/>
    <col min="5" max="5" width="12.21875" style="5" customWidth="1"/>
    <col min="6" max="6" width="10.77734375" style="5" customWidth="1"/>
    <col min="7" max="7" width="10.44140625" style="5" customWidth="1"/>
    <col min="8" max="16384" width="11.44140625" style="5"/>
  </cols>
  <sheetData>
    <row r="6" spans="1:8" ht="77.25" customHeight="1" x14ac:dyDescent="0.25">
      <c r="A6" s="196" t="s">
        <v>337</v>
      </c>
      <c r="B6" s="196" t="s">
        <v>505</v>
      </c>
      <c r="C6" s="196" t="s">
        <v>506</v>
      </c>
      <c r="D6" s="196" t="s">
        <v>507</v>
      </c>
      <c r="E6" s="196" t="s">
        <v>508</v>
      </c>
      <c r="F6" s="196" t="s">
        <v>509</v>
      </c>
      <c r="G6" s="196" t="s">
        <v>510</v>
      </c>
      <c r="H6" s="345"/>
    </row>
    <row r="7" spans="1:8" x14ac:dyDescent="0.25">
      <c r="A7" s="309" t="s">
        <v>451</v>
      </c>
      <c r="B7" s="310"/>
      <c r="C7" s="310"/>
      <c r="D7" s="344">
        <f>IF(C7=0,0,(B7-C7)/C7)*100</f>
        <v>0</v>
      </c>
      <c r="E7" s="311"/>
      <c r="F7" s="311"/>
      <c r="G7" s="311"/>
    </row>
    <row r="8" spans="1:8" x14ac:dyDescent="0.25">
      <c r="A8" s="8" t="s">
        <v>511</v>
      </c>
      <c r="B8" s="15"/>
      <c r="C8" s="15"/>
      <c r="D8" s="344">
        <f t="shared" ref="D8:D17" si="0">IF(C8=0,0,(B8-C8)/C8)*100</f>
        <v>0</v>
      </c>
      <c r="E8" s="15"/>
      <c r="F8" s="15"/>
      <c r="G8" s="15"/>
    </row>
    <row r="9" spans="1:8" x14ac:dyDescent="0.25">
      <c r="A9" s="8" t="s">
        <v>512</v>
      </c>
      <c r="B9" s="15"/>
      <c r="C9" s="15"/>
      <c r="D9" s="344">
        <f t="shared" si="0"/>
        <v>0</v>
      </c>
      <c r="E9" s="15"/>
      <c r="F9" s="15"/>
      <c r="G9" s="15"/>
    </row>
    <row r="10" spans="1:8" x14ac:dyDescent="0.25">
      <c r="A10" s="8" t="s">
        <v>513</v>
      </c>
      <c r="B10" s="15"/>
      <c r="C10" s="15"/>
      <c r="D10" s="344">
        <f t="shared" si="0"/>
        <v>0</v>
      </c>
      <c r="E10" s="15"/>
      <c r="F10" s="15"/>
      <c r="G10" s="15"/>
    </row>
    <row r="11" spans="1:8" x14ac:dyDescent="0.25">
      <c r="A11" s="8" t="s">
        <v>514</v>
      </c>
      <c r="B11" s="15"/>
      <c r="C11" s="15"/>
      <c r="D11" s="344">
        <f t="shared" si="0"/>
        <v>0</v>
      </c>
      <c r="E11" s="15"/>
      <c r="F11" s="15"/>
      <c r="G11" s="15"/>
    </row>
    <row r="12" spans="1:8" x14ac:dyDescent="0.25">
      <c r="A12" s="8" t="s">
        <v>515</v>
      </c>
      <c r="B12" s="15">
        <v>180000</v>
      </c>
      <c r="C12" s="15">
        <v>180000</v>
      </c>
      <c r="D12" s="344">
        <f t="shared" si="0"/>
        <v>0</v>
      </c>
      <c r="E12" s="15"/>
      <c r="F12" s="15"/>
      <c r="G12" s="15"/>
    </row>
    <row r="13" spans="1:8" x14ac:dyDescent="0.25">
      <c r="A13" s="8" t="s">
        <v>516</v>
      </c>
      <c r="B13" s="15"/>
      <c r="C13" s="15"/>
      <c r="D13" s="344">
        <f t="shared" si="0"/>
        <v>0</v>
      </c>
      <c r="E13" s="15"/>
      <c r="F13" s="15"/>
      <c r="G13" s="15"/>
    </row>
    <row r="14" spans="1:8" x14ac:dyDescent="0.25">
      <c r="A14" s="7" t="s">
        <v>517</v>
      </c>
      <c r="B14" s="15"/>
      <c r="C14" s="15"/>
      <c r="D14" s="344">
        <f t="shared" si="0"/>
        <v>0</v>
      </c>
      <c r="E14" s="15"/>
      <c r="F14" s="15"/>
      <c r="G14" s="15"/>
    </row>
    <row r="15" spans="1:8" x14ac:dyDescent="0.25">
      <c r="A15" s="312" t="s">
        <v>518</v>
      </c>
      <c r="B15" s="121">
        <f>SUM(B7:B14)</f>
        <v>180000</v>
      </c>
      <c r="C15" s="121">
        <f t="shared" ref="C15:G15" si="1">SUM(C7:C14)</f>
        <v>180000</v>
      </c>
      <c r="D15" s="346">
        <f t="shared" si="0"/>
        <v>0</v>
      </c>
      <c r="E15" s="121">
        <f t="shared" si="1"/>
        <v>0</v>
      </c>
      <c r="F15" s="121">
        <f t="shared" si="1"/>
        <v>0</v>
      </c>
      <c r="G15" s="121">
        <f t="shared" si="1"/>
        <v>0</v>
      </c>
    </row>
    <row r="16" spans="1:8" ht="27.6" x14ac:dyDescent="0.25">
      <c r="A16" s="8" t="s">
        <v>1174</v>
      </c>
      <c r="B16" s="15"/>
      <c r="C16" s="15"/>
      <c r="D16" s="344">
        <f t="shared" si="0"/>
        <v>0</v>
      </c>
      <c r="E16" s="61"/>
      <c r="F16" s="61"/>
      <c r="G16" s="61"/>
    </row>
    <row r="17" spans="1:8" ht="27.6" x14ac:dyDescent="0.25">
      <c r="A17" s="8" t="s">
        <v>519</v>
      </c>
      <c r="B17" s="15">
        <v>0</v>
      </c>
      <c r="C17" s="15">
        <v>0</v>
      </c>
      <c r="D17" s="344">
        <f t="shared" si="0"/>
        <v>0</v>
      </c>
      <c r="E17" s="61"/>
      <c r="F17" s="61"/>
      <c r="G17" s="61"/>
    </row>
    <row r="18" spans="1:8" ht="28.5" customHeight="1" x14ac:dyDescent="0.25">
      <c r="A18" s="84" t="s">
        <v>521</v>
      </c>
      <c r="B18" s="372">
        <f>B15-B16-B17</f>
        <v>180000</v>
      </c>
      <c r="C18" s="372">
        <f t="shared" ref="C18:D18" si="2">C15-C16-C17</f>
        <v>180000</v>
      </c>
      <c r="D18" s="372">
        <f t="shared" si="2"/>
        <v>0</v>
      </c>
      <c r="E18" s="313"/>
      <c r="F18" s="313"/>
      <c r="G18" s="313"/>
    </row>
    <row r="19" spans="1:8" x14ac:dyDescent="0.25">
      <c r="A19" s="314"/>
    </row>
    <row r="20" spans="1:8" x14ac:dyDescent="0.25">
      <c r="A20" s="67" t="s">
        <v>520</v>
      </c>
      <c r="B20" s="24"/>
      <c r="C20" s="24"/>
      <c r="D20" s="24"/>
      <c r="E20" s="24"/>
      <c r="F20" s="24"/>
      <c r="G20" s="24"/>
      <c r="H20" s="24"/>
    </row>
    <row r="21" spans="1:8" x14ac:dyDescent="0.25">
      <c r="A21" s="25" t="s">
        <v>1156</v>
      </c>
      <c r="B21" s="24"/>
      <c r="C21" s="24"/>
      <c r="D21" s="24"/>
      <c r="E21" s="24"/>
      <c r="F21" s="24"/>
      <c r="G21" s="24"/>
      <c r="H21" s="24"/>
    </row>
    <row r="22" spans="1:8" x14ac:dyDescent="0.25">
      <c r="A22" s="25" t="s">
        <v>1157</v>
      </c>
      <c r="B22" s="24"/>
      <c r="C22" s="24"/>
      <c r="D22" s="24"/>
      <c r="E22" s="24"/>
      <c r="F22" s="24"/>
      <c r="G22" s="24"/>
      <c r="H22" s="24"/>
    </row>
    <row r="23" spans="1:8" x14ac:dyDescent="0.25">
      <c r="A23" s="25" t="s">
        <v>1158</v>
      </c>
      <c r="B23" s="24"/>
      <c r="C23" s="24"/>
      <c r="D23" s="24"/>
      <c r="E23" s="24"/>
      <c r="F23" s="24"/>
      <c r="G23" s="24"/>
      <c r="H23" s="24"/>
    </row>
    <row r="24" spans="1:8" x14ac:dyDescent="0.25">
      <c r="A24" s="25" t="s">
        <v>1159</v>
      </c>
      <c r="B24" s="24"/>
      <c r="C24" s="24"/>
      <c r="D24" s="24"/>
      <c r="E24" s="24"/>
      <c r="F24" s="24"/>
      <c r="G24" s="24"/>
      <c r="H24" s="24"/>
    </row>
  </sheetData>
  <pageMargins left="0.7" right="0.7" top="0.75" bottom="0.75" header="0.3" footer="0.3"/>
  <pageSetup paperSize="9" scale="83" orientation="portrait" r:id="rId1"/>
  <ignoredErrors>
    <ignoredError sqref="D15" formula="1"/>
  </ignoredError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33"/>
  <sheetViews>
    <sheetView workbookViewId="0">
      <selection activeCell="E1" sqref="E1"/>
    </sheetView>
  </sheetViews>
  <sheetFormatPr baseColWidth="10" defaultColWidth="11.44140625" defaultRowHeight="13.8" x14ac:dyDescent="0.25"/>
  <cols>
    <col min="1" max="1" width="52.77734375" style="5" customWidth="1"/>
    <col min="2" max="16384" width="11.44140625" style="5"/>
  </cols>
  <sheetData>
    <row r="6" spans="1:5" x14ac:dyDescent="0.25">
      <c r="A6" s="557" t="s">
        <v>522</v>
      </c>
      <c r="B6" s="557"/>
      <c r="C6" s="557"/>
      <c r="D6" s="557"/>
      <c r="E6" s="557"/>
    </row>
    <row r="7" spans="1:5" x14ac:dyDescent="0.25">
      <c r="A7" s="558" t="s">
        <v>337</v>
      </c>
      <c r="B7" s="558" t="s">
        <v>505</v>
      </c>
      <c r="C7" s="558" t="s">
        <v>506</v>
      </c>
      <c r="D7" s="558" t="s">
        <v>523</v>
      </c>
      <c r="E7" s="558"/>
    </row>
    <row r="8" spans="1:5" x14ac:dyDescent="0.25">
      <c r="A8" s="558"/>
      <c r="B8" s="558"/>
      <c r="C8" s="558"/>
      <c r="D8" s="196" t="s">
        <v>524</v>
      </c>
      <c r="E8" s="196" t="s">
        <v>525</v>
      </c>
    </row>
    <row r="9" spans="1:5" x14ac:dyDescent="0.25">
      <c r="A9" s="8" t="s">
        <v>526</v>
      </c>
      <c r="B9" s="16"/>
      <c r="C9" s="16">
        <v>0</v>
      </c>
      <c r="D9" s="16">
        <v>0</v>
      </c>
      <c r="E9" s="348">
        <f>IF(C9=0,0,(B9-C9)/C9)*100</f>
        <v>0</v>
      </c>
    </row>
    <row r="10" spans="1:5" x14ac:dyDescent="0.25">
      <c r="A10" s="8" t="s">
        <v>527</v>
      </c>
      <c r="B10" s="16"/>
      <c r="C10" s="16">
        <v>0</v>
      </c>
      <c r="D10" s="16">
        <v>0</v>
      </c>
      <c r="E10" s="16">
        <f t="shared" ref="E10:E15" si="0">IF(C10=0,0,(B10-C10)/C10)*100</f>
        <v>0</v>
      </c>
    </row>
    <row r="11" spans="1:5" x14ac:dyDescent="0.25">
      <c r="A11" s="8" t="s">
        <v>528</v>
      </c>
      <c r="B11" s="16"/>
      <c r="C11" s="16">
        <v>0</v>
      </c>
      <c r="D11" s="16">
        <v>0</v>
      </c>
      <c r="E11" s="16">
        <f t="shared" si="0"/>
        <v>0</v>
      </c>
    </row>
    <row r="12" spans="1:5" x14ac:dyDescent="0.25">
      <c r="A12" s="312" t="s">
        <v>518</v>
      </c>
      <c r="B12" s="315">
        <f>SUM(B9:B11)</f>
        <v>0</v>
      </c>
      <c r="C12" s="315">
        <f>SUM(C9:C11)</f>
        <v>0</v>
      </c>
      <c r="D12" s="347">
        <f t="shared" ref="D12:D15" si="1">(B12-C12)</f>
        <v>0</v>
      </c>
      <c r="E12" s="347">
        <f t="shared" si="0"/>
        <v>0</v>
      </c>
    </row>
    <row r="13" spans="1:5" x14ac:dyDescent="0.25">
      <c r="A13" s="8" t="s">
        <v>529</v>
      </c>
      <c r="B13" s="16"/>
      <c r="C13" s="16">
        <v>0</v>
      </c>
      <c r="D13" s="16">
        <v>0</v>
      </c>
      <c r="E13" s="16">
        <f t="shared" si="0"/>
        <v>0</v>
      </c>
    </row>
    <row r="14" spans="1:5" x14ac:dyDescent="0.25">
      <c r="A14" s="8"/>
      <c r="B14" s="16"/>
      <c r="C14" s="16"/>
      <c r="D14" s="16">
        <f t="shared" si="1"/>
        <v>0</v>
      </c>
      <c r="E14" s="16">
        <f t="shared" si="0"/>
        <v>0</v>
      </c>
    </row>
    <row r="15" spans="1:5" x14ac:dyDescent="0.25">
      <c r="A15" s="84" t="s">
        <v>530</v>
      </c>
      <c r="B15" s="46">
        <f>B12-B13</f>
        <v>0</v>
      </c>
      <c r="C15" s="46">
        <f t="shared" ref="C15" si="2">C12-C13</f>
        <v>0</v>
      </c>
      <c r="D15" s="46">
        <f t="shared" si="1"/>
        <v>0</v>
      </c>
      <c r="E15" s="46">
        <f t="shared" si="0"/>
        <v>0</v>
      </c>
    </row>
    <row r="16" spans="1:5" x14ac:dyDescent="0.25">
      <c r="A16" s="6" t="s">
        <v>405</v>
      </c>
    </row>
    <row r="17" spans="1:5" x14ac:dyDescent="0.25">
      <c r="A17" s="67" t="s">
        <v>520</v>
      </c>
      <c r="B17" s="24"/>
      <c r="C17" s="24"/>
      <c r="D17" s="24"/>
      <c r="E17" s="24"/>
    </row>
    <row r="18" spans="1:5" x14ac:dyDescent="0.25">
      <c r="A18" s="181" t="s">
        <v>1157</v>
      </c>
      <c r="B18" s="24"/>
      <c r="C18" s="24"/>
      <c r="D18" s="24"/>
      <c r="E18" s="24"/>
    </row>
    <row r="19" spans="1:5" x14ac:dyDescent="0.25">
      <c r="A19" s="181" t="s">
        <v>1160</v>
      </c>
      <c r="B19" s="24"/>
      <c r="C19" s="24"/>
      <c r="D19" s="24"/>
      <c r="E19" s="24"/>
    </row>
    <row r="20" spans="1:5" x14ac:dyDescent="0.25">
      <c r="A20" s="6"/>
    </row>
    <row r="21" spans="1:5" x14ac:dyDescent="0.25">
      <c r="A21" s="559" t="s">
        <v>531</v>
      </c>
      <c r="B21" s="559"/>
      <c r="C21" s="559"/>
      <c r="D21" s="559"/>
      <c r="E21" s="559"/>
    </row>
    <row r="22" spans="1:5" x14ac:dyDescent="0.25">
      <c r="A22" s="558" t="s">
        <v>337</v>
      </c>
      <c r="B22" s="558" t="s">
        <v>505</v>
      </c>
      <c r="C22" s="558" t="s">
        <v>506</v>
      </c>
      <c r="D22" s="558" t="s">
        <v>523</v>
      </c>
      <c r="E22" s="558"/>
    </row>
    <row r="23" spans="1:5" x14ac:dyDescent="0.25">
      <c r="A23" s="558"/>
      <c r="B23" s="558"/>
      <c r="C23" s="558"/>
      <c r="D23" s="196" t="s">
        <v>524</v>
      </c>
      <c r="E23" s="196" t="s">
        <v>525</v>
      </c>
    </row>
    <row r="24" spans="1:5" x14ac:dyDescent="0.25">
      <c r="A24" s="7" t="s">
        <v>532</v>
      </c>
      <c r="B24" s="15"/>
      <c r="C24" s="15">
        <v>0</v>
      </c>
      <c r="D24" s="15">
        <v>0</v>
      </c>
      <c r="E24" s="15">
        <f>IF(C24=0,0,(B24-C24)/C24)*100</f>
        <v>0</v>
      </c>
    </row>
    <row r="25" spans="1:5" x14ac:dyDescent="0.25">
      <c r="A25" s="7" t="s">
        <v>533</v>
      </c>
      <c r="B25" s="15"/>
      <c r="C25" s="15">
        <v>0</v>
      </c>
      <c r="D25" s="15">
        <v>0</v>
      </c>
      <c r="E25" s="15">
        <f t="shared" ref="E25:E28" si="3">IF(C25=0,0,(B25-C25)/C25)*100</f>
        <v>0</v>
      </c>
    </row>
    <row r="26" spans="1:5" x14ac:dyDescent="0.25">
      <c r="A26" s="7" t="s">
        <v>534</v>
      </c>
      <c r="B26" s="15"/>
      <c r="C26" s="15">
        <v>0</v>
      </c>
      <c r="D26" s="15">
        <v>0</v>
      </c>
      <c r="E26" s="15">
        <f t="shared" si="3"/>
        <v>0</v>
      </c>
    </row>
    <row r="27" spans="1:5" x14ac:dyDescent="0.25">
      <c r="A27" s="7"/>
      <c r="B27" s="15"/>
      <c r="C27" s="15"/>
      <c r="D27" s="15">
        <f t="shared" ref="D27:D28" si="4">(B27-C27)</f>
        <v>0</v>
      </c>
      <c r="E27" s="15">
        <f t="shared" si="3"/>
        <v>0</v>
      </c>
    </row>
    <row r="28" spans="1:5" x14ac:dyDescent="0.25">
      <c r="A28" s="188" t="s">
        <v>373</v>
      </c>
      <c r="B28" s="123">
        <f>SUM(B24:B26)</f>
        <v>0</v>
      </c>
      <c r="C28" s="123">
        <f t="shared" ref="C28" si="5">SUM(C24:C26)</f>
        <v>0</v>
      </c>
      <c r="D28" s="47">
        <f t="shared" si="4"/>
        <v>0</v>
      </c>
      <c r="E28" s="47">
        <f t="shared" si="3"/>
        <v>0</v>
      </c>
    </row>
    <row r="29" spans="1:5" x14ac:dyDescent="0.25">
      <c r="A29" s="6"/>
    </row>
    <row r="30" spans="1:5" x14ac:dyDescent="0.25">
      <c r="A30" s="67" t="s">
        <v>535</v>
      </c>
      <c r="B30" s="24"/>
    </row>
    <row r="31" spans="1:5" x14ac:dyDescent="0.25">
      <c r="A31" s="181" t="s">
        <v>1161</v>
      </c>
      <c r="B31" s="24"/>
    </row>
    <row r="32" spans="1:5" x14ac:dyDescent="0.25">
      <c r="A32" s="316" t="s">
        <v>1162</v>
      </c>
      <c r="B32" s="24"/>
    </row>
    <row r="33" spans="1:1" x14ac:dyDescent="0.25">
      <c r="A33" s="6"/>
    </row>
  </sheetData>
  <mergeCells count="10">
    <mergeCell ref="A21:E21"/>
    <mergeCell ref="A22:A23"/>
    <mergeCell ref="B22:B23"/>
    <mergeCell ref="C22:C23"/>
    <mergeCell ref="D22:E22"/>
    <mergeCell ref="A6:E6"/>
    <mergeCell ref="A7:A8"/>
    <mergeCell ref="B7:B8"/>
    <mergeCell ref="C7:C8"/>
    <mergeCell ref="D7:E7"/>
  </mergeCells>
  <pageMargins left="0.7" right="0.7" top="0.75" bottom="0.75" header="0.3" footer="0.3"/>
  <pageSetup paperSize="9" scale="7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24"/>
  <sheetViews>
    <sheetView workbookViewId="0">
      <selection activeCell="F1" sqref="F1"/>
    </sheetView>
  </sheetViews>
  <sheetFormatPr baseColWidth="10" defaultColWidth="11.44140625" defaultRowHeight="13.8" x14ac:dyDescent="0.25"/>
  <cols>
    <col min="1" max="1" width="38.21875" style="5" customWidth="1"/>
    <col min="2" max="3" width="11.44140625" style="5"/>
    <col min="4" max="4" width="14.77734375" style="5" customWidth="1"/>
    <col min="5" max="16384" width="11.44140625" style="5"/>
  </cols>
  <sheetData>
    <row r="6" spans="1:6" ht="15" customHeight="1" x14ac:dyDescent="0.25">
      <c r="A6" s="529" t="s">
        <v>337</v>
      </c>
      <c r="B6" s="488" t="s">
        <v>505</v>
      </c>
      <c r="C6" s="488" t="s">
        <v>506</v>
      </c>
      <c r="D6" s="529" t="s">
        <v>536</v>
      </c>
      <c r="E6" s="564" t="s">
        <v>523</v>
      </c>
      <c r="F6" s="564"/>
    </row>
    <row r="7" spans="1:6" ht="45.75" customHeight="1" x14ac:dyDescent="0.25">
      <c r="A7" s="530"/>
      <c r="B7" s="489"/>
      <c r="C7" s="489"/>
      <c r="D7" s="530"/>
      <c r="E7" s="41" t="s">
        <v>524</v>
      </c>
      <c r="F7" s="41" t="s">
        <v>525</v>
      </c>
    </row>
    <row r="8" spans="1:6" x14ac:dyDescent="0.25">
      <c r="A8" s="8" t="s">
        <v>537</v>
      </c>
      <c r="B8" s="15"/>
      <c r="C8" s="15"/>
      <c r="D8" s="15"/>
      <c r="E8" s="15">
        <f>B8-C8</f>
        <v>0</v>
      </c>
      <c r="F8" s="15">
        <f>IF(C8=0,0,(B8-C8)/C8)*100</f>
        <v>0</v>
      </c>
    </row>
    <row r="9" spans="1:6" x14ac:dyDescent="0.25">
      <c r="A9" s="8" t="s">
        <v>538</v>
      </c>
      <c r="B9" s="15"/>
      <c r="C9" s="15"/>
      <c r="D9" s="15"/>
      <c r="E9" s="15">
        <f t="shared" ref="E9:E17" si="0">B9-C9</f>
        <v>0</v>
      </c>
      <c r="F9" s="15">
        <f t="shared" ref="F9:F17" si="1">IF(C9=0,0,(B9-C9)/C9)*100</f>
        <v>0</v>
      </c>
    </row>
    <row r="10" spans="1:6" x14ac:dyDescent="0.25">
      <c r="A10" s="8" t="s">
        <v>539</v>
      </c>
      <c r="B10" s="15"/>
      <c r="C10" s="15"/>
      <c r="D10" s="15"/>
      <c r="E10" s="15">
        <f t="shared" si="0"/>
        <v>0</v>
      </c>
      <c r="F10" s="15">
        <f t="shared" si="1"/>
        <v>0</v>
      </c>
    </row>
    <row r="11" spans="1:6" x14ac:dyDescent="0.25">
      <c r="A11" s="8" t="s">
        <v>377</v>
      </c>
      <c r="B11" s="15"/>
      <c r="C11" s="15"/>
      <c r="D11" s="15"/>
      <c r="E11" s="15">
        <f t="shared" si="0"/>
        <v>0</v>
      </c>
      <c r="F11" s="15">
        <f t="shared" si="1"/>
        <v>0</v>
      </c>
    </row>
    <row r="12" spans="1:6" x14ac:dyDescent="0.25">
      <c r="A12" s="8" t="s">
        <v>540</v>
      </c>
      <c r="B12" s="15"/>
      <c r="C12" s="15"/>
      <c r="D12" s="15"/>
      <c r="E12" s="15">
        <f t="shared" si="0"/>
        <v>0</v>
      </c>
      <c r="F12" s="15">
        <f t="shared" si="1"/>
        <v>0</v>
      </c>
    </row>
    <row r="13" spans="1:6" x14ac:dyDescent="0.25">
      <c r="A13" s="8" t="s">
        <v>541</v>
      </c>
      <c r="B13" s="15"/>
      <c r="C13" s="15"/>
      <c r="D13" s="15"/>
      <c r="E13" s="15">
        <f t="shared" si="0"/>
        <v>0</v>
      </c>
      <c r="F13" s="15">
        <f t="shared" si="1"/>
        <v>0</v>
      </c>
    </row>
    <row r="14" spans="1:6" x14ac:dyDescent="0.25">
      <c r="A14" s="8" t="s">
        <v>543</v>
      </c>
      <c r="B14" s="15"/>
      <c r="C14" s="15"/>
      <c r="D14" s="15"/>
      <c r="E14" s="15">
        <f t="shared" si="0"/>
        <v>0</v>
      </c>
      <c r="F14" s="15">
        <f t="shared" si="1"/>
        <v>0</v>
      </c>
    </row>
    <row r="15" spans="1:6" x14ac:dyDescent="0.25">
      <c r="A15" s="66" t="s">
        <v>544</v>
      </c>
      <c r="B15" s="18">
        <f>SUM(B8:B14)</f>
        <v>0</v>
      </c>
      <c r="C15" s="18">
        <f t="shared" ref="C15:D15" si="2">SUM(C8:C14)</f>
        <v>0</v>
      </c>
      <c r="D15" s="18">
        <f t="shared" si="2"/>
        <v>0</v>
      </c>
      <c r="E15" s="18">
        <f t="shared" si="0"/>
        <v>0</v>
      </c>
      <c r="F15" s="18">
        <f t="shared" si="1"/>
        <v>0</v>
      </c>
    </row>
    <row r="16" spans="1:6" x14ac:dyDescent="0.25">
      <c r="A16" s="8" t="s">
        <v>542</v>
      </c>
      <c r="B16" s="15">
        <v>0</v>
      </c>
      <c r="C16" s="15">
        <v>0</v>
      </c>
      <c r="D16" s="15"/>
      <c r="E16" s="15">
        <f t="shared" si="0"/>
        <v>0</v>
      </c>
      <c r="F16" s="15">
        <f t="shared" si="1"/>
        <v>0</v>
      </c>
    </row>
    <row r="17" spans="1:6" x14ac:dyDescent="0.25">
      <c r="A17" s="74" t="s">
        <v>530</v>
      </c>
      <c r="B17" s="47">
        <f>B15-B16</f>
        <v>0</v>
      </c>
      <c r="C17" s="47">
        <f t="shared" ref="C17:D17" si="3">C15-C16</f>
        <v>0</v>
      </c>
      <c r="D17" s="47">
        <f t="shared" si="3"/>
        <v>0</v>
      </c>
      <c r="E17" s="47">
        <f t="shared" si="0"/>
        <v>0</v>
      </c>
      <c r="F17" s="47">
        <f t="shared" si="1"/>
        <v>0</v>
      </c>
    </row>
    <row r="18" spans="1:6" x14ac:dyDescent="0.25">
      <c r="A18" s="6"/>
    </row>
    <row r="19" spans="1:6" ht="24" customHeight="1" x14ac:dyDescent="0.25">
      <c r="A19" s="560" t="s">
        <v>545</v>
      </c>
      <c r="B19" s="560"/>
      <c r="C19" s="560"/>
      <c r="D19" s="560"/>
      <c r="E19" s="560"/>
      <c r="F19" s="560"/>
    </row>
    <row r="20" spans="1:6" x14ac:dyDescent="0.25">
      <c r="A20" s="561" t="s">
        <v>1163</v>
      </c>
      <c r="B20" s="561"/>
      <c r="C20" s="561"/>
      <c r="D20" s="561"/>
      <c r="E20" s="561"/>
      <c r="F20" s="561"/>
    </row>
    <row r="21" spans="1:6" ht="24" customHeight="1" x14ac:dyDescent="0.25">
      <c r="A21" s="562" t="s">
        <v>1164</v>
      </c>
      <c r="B21" s="562"/>
      <c r="C21" s="562"/>
      <c r="D21" s="562"/>
      <c r="E21" s="562"/>
      <c r="F21" s="562"/>
    </row>
    <row r="22" spans="1:6" x14ac:dyDescent="0.25">
      <c r="A22" s="563" t="s">
        <v>1165</v>
      </c>
      <c r="B22" s="563"/>
      <c r="C22" s="563"/>
      <c r="D22" s="563"/>
      <c r="E22" s="563"/>
      <c r="F22" s="563"/>
    </row>
    <row r="23" spans="1:6" ht="24" customHeight="1" x14ac:dyDescent="0.25">
      <c r="A23" s="562" t="s">
        <v>1166</v>
      </c>
      <c r="B23" s="562"/>
      <c r="C23" s="562"/>
      <c r="D23" s="562"/>
      <c r="E23" s="562"/>
      <c r="F23" s="562"/>
    </row>
    <row r="24" spans="1:6" ht="15.6" x14ac:dyDescent="0.25">
      <c r="A24" s="2"/>
    </row>
  </sheetData>
  <mergeCells count="10">
    <mergeCell ref="A6:A7"/>
    <mergeCell ref="B6:B7"/>
    <mergeCell ref="C6:C7"/>
    <mergeCell ref="D6:D7"/>
    <mergeCell ref="E6:F6"/>
    <mergeCell ref="A19:F19"/>
    <mergeCell ref="A20:F20"/>
    <mergeCell ref="A21:F21"/>
    <mergeCell ref="A23:F23"/>
    <mergeCell ref="A22:F22"/>
  </mergeCells>
  <pageMargins left="0.7" right="0.7" top="0.75" bottom="0.75" header="0.3" footer="0.3"/>
  <pageSetup paperSize="9" scale="7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24"/>
  <sheetViews>
    <sheetView workbookViewId="0">
      <selection activeCell="E1" sqref="E1"/>
    </sheetView>
  </sheetViews>
  <sheetFormatPr baseColWidth="10" defaultColWidth="11.44140625" defaultRowHeight="13.8" x14ac:dyDescent="0.25"/>
  <cols>
    <col min="1" max="1" width="38.5546875" style="5" customWidth="1"/>
    <col min="2" max="16384" width="11.44140625" style="5"/>
  </cols>
  <sheetData>
    <row r="5" spans="1:8" ht="14.25" customHeight="1" x14ac:dyDescent="0.25"/>
    <row r="6" spans="1:8" ht="46.5" customHeight="1" x14ac:dyDescent="0.25">
      <c r="A6" s="567" t="s">
        <v>337</v>
      </c>
      <c r="B6" s="567" t="s">
        <v>505</v>
      </c>
      <c r="C6" s="567" t="s">
        <v>506</v>
      </c>
      <c r="D6" s="567" t="s">
        <v>523</v>
      </c>
      <c r="E6" s="567"/>
      <c r="F6" s="558" t="s">
        <v>508</v>
      </c>
      <c r="G6" s="558" t="s">
        <v>509</v>
      </c>
      <c r="H6" s="558" t="s">
        <v>510</v>
      </c>
    </row>
    <row r="7" spans="1:8" ht="100.5" customHeight="1" x14ac:dyDescent="0.25">
      <c r="A7" s="567"/>
      <c r="B7" s="567"/>
      <c r="C7" s="567"/>
      <c r="D7" s="320" t="s">
        <v>524</v>
      </c>
      <c r="E7" s="320" t="s">
        <v>525</v>
      </c>
      <c r="F7" s="558"/>
      <c r="G7" s="558"/>
      <c r="H7" s="558"/>
    </row>
    <row r="8" spans="1:8" x14ac:dyDescent="0.25">
      <c r="A8" s="8" t="s">
        <v>546</v>
      </c>
      <c r="B8" s="15"/>
      <c r="C8" s="15"/>
      <c r="D8" s="15">
        <f>B8-C8</f>
        <v>0</v>
      </c>
      <c r="E8" s="15">
        <f>IF(C8=0,0,(B8-C8)/C8)*100</f>
        <v>0</v>
      </c>
      <c r="F8" s="15"/>
      <c r="G8" s="15"/>
      <c r="H8" s="15"/>
    </row>
    <row r="9" spans="1:8" x14ac:dyDescent="0.25">
      <c r="A9" s="8" t="s">
        <v>547</v>
      </c>
      <c r="B9" s="15"/>
      <c r="C9" s="15"/>
      <c r="D9" s="15">
        <f t="shared" ref="D9:D19" si="0">B9-C9</f>
        <v>0</v>
      </c>
      <c r="E9" s="15">
        <f t="shared" ref="E9:E19" si="1">IF(C9=0,0,(B9-C9)/C9)*100</f>
        <v>0</v>
      </c>
      <c r="F9" s="15"/>
      <c r="G9" s="15"/>
      <c r="H9" s="15"/>
    </row>
    <row r="10" spans="1:8" ht="27.6" x14ac:dyDescent="0.25">
      <c r="A10" s="8" t="s">
        <v>548</v>
      </c>
      <c r="B10" s="15"/>
      <c r="C10" s="15"/>
      <c r="D10" s="15">
        <f t="shared" si="0"/>
        <v>0</v>
      </c>
      <c r="E10" s="15">
        <f t="shared" si="1"/>
        <v>0</v>
      </c>
      <c r="F10" s="15"/>
      <c r="G10" s="15"/>
      <c r="H10" s="15"/>
    </row>
    <row r="11" spans="1:8" x14ac:dyDescent="0.25">
      <c r="A11" s="8" t="s">
        <v>549</v>
      </c>
      <c r="B11" s="15"/>
      <c r="C11" s="15"/>
      <c r="D11" s="15">
        <f t="shared" si="0"/>
        <v>0</v>
      </c>
      <c r="E11" s="15">
        <f t="shared" si="1"/>
        <v>0</v>
      </c>
      <c r="F11" s="15"/>
      <c r="G11" s="15"/>
      <c r="H11" s="15"/>
    </row>
    <row r="12" spans="1:8" x14ac:dyDescent="0.25">
      <c r="A12" s="8" t="s">
        <v>550</v>
      </c>
      <c r="B12" s="15"/>
      <c r="C12" s="15"/>
      <c r="D12" s="15">
        <f t="shared" si="0"/>
        <v>0</v>
      </c>
      <c r="E12" s="15">
        <f t="shared" si="1"/>
        <v>0</v>
      </c>
      <c r="F12" s="15"/>
      <c r="G12" s="15"/>
      <c r="H12" s="15"/>
    </row>
    <row r="13" spans="1:8" ht="27.6" x14ac:dyDescent="0.25">
      <c r="A13" s="122" t="s">
        <v>551</v>
      </c>
      <c r="B13" s="317">
        <f>SUM(B8:B12)</f>
        <v>0</v>
      </c>
      <c r="C13" s="317">
        <f t="shared" ref="C13:H13" si="2">SUM(C8:C12)</f>
        <v>0</v>
      </c>
      <c r="D13" s="18">
        <f t="shared" si="0"/>
        <v>0</v>
      </c>
      <c r="E13" s="18">
        <f t="shared" si="1"/>
        <v>0</v>
      </c>
      <c r="F13" s="317">
        <f t="shared" si="2"/>
        <v>0</v>
      </c>
      <c r="G13" s="317">
        <f t="shared" si="2"/>
        <v>0</v>
      </c>
      <c r="H13" s="317">
        <f t="shared" si="2"/>
        <v>0</v>
      </c>
    </row>
    <row r="14" spans="1:8" ht="27.6" x14ac:dyDescent="0.25">
      <c r="A14" s="8" t="s">
        <v>552</v>
      </c>
      <c r="B14" s="15"/>
      <c r="C14" s="15"/>
      <c r="D14" s="15">
        <f t="shared" si="0"/>
        <v>0</v>
      </c>
      <c r="E14" s="15">
        <f t="shared" si="1"/>
        <v>0</v>
      </c>
      <c r="F14" s="301"/>
      <c r="G14" s="301"/>
      <c r="H14" s="301"/>
    </row>
    <row r="15" spans="1:8" x14ac:dyDescent="0.25">
      <c r="A15" s="318" t="s">
        <v>553</v>
      </c>
      <c r="B15" s="317">
        <f>B13-B14</f>
        <v>0</v>
      </c>
      <c r="C15" s="317">
        <f t="shared" ref="C15" si="3">C13-C14</f>
        <v>0</v>
      </c>
      <c r="D15" s="18">
        <f t="shared" si="0"/>
        <v>0</v>
      </c>
      <c r="E15" s="18">
        <f t="shared" si="1"/>
        <v>0</v>
      </c>
      <c r="F15" s="319"/>
      <c r="G15" s="319"/>
      <c r="H15" s="319"/>
    </row>
    <row r="16" spans="1:8" x14ac:dyDescent="0.25">
      <c r="A16" s="8" t="s">
        <v>554</v>
      </c>
      <c r="B16" s="15">
        <v>0</v>
      </c>
      <c r="C16" s="15">
        <v>0</v>
      </c>
      <c r="D16" s="15">
        <f t="shared" si="0"/>
        <v>0</v>
      </c>
      <c r="E16" s="15">
        <f t="shared" si="1"/>
        <v>0</v>
      </c>
      <c r="F16" s="15"/>
      <c r="G16" s="15"/>
      <c r="H16" s="15"/>
    </row>
    <row r="17" spans="1:8" x14ac:dyDescent="0.25">
      <c r="A17" s="7" t="s">
        <v>555</v>
      </c>
      <c r="B17" s="15">
        <v>0</v>
      </c>
      <c r="C17" s="15">
        <v>0</v>
      </c>
      <c r="D17" s="15">
        <f t="shared" si="0"/>
        <v>0</v>
      </c>
      <c r="E17" s="15">
        <f t="shared" si="1"/>
        <v>0</v>
      </c>
      <c r="F17" s="15"/>
      <c r="G17" s="15"/>
      <c r="H17" s="15"/>
    </row>
    <row r="18" spans="1:8" x14ac:dyDescent="0.25">
      <c r="A18" s="8" t="s">
        <v>556</v>
      </c>
      <c r="B18" s="15">
        <v>0</v>
      </c>
      <c r="C18" s="15">
        <v>0</v>
      </c>
      <c r="D18" s="15">
        <f t="shared" si="0"/>
        <v>0</v>
      </c>
      <c r="E18" s="15">
        <f t="shared" si="1"/>
        <v>0</v>
      </c>
      <c r="F18" s="15"/>
      <c r="G18" s="15"/>
      <c r="H18" s="15"/>
    </row>
    <row r="19" spans="1:8" x14ac:dyDescent="0.25">
      <c r="A19" s="84" t="s">
        <v>557</v>
      </c>
      <c r="B19" s="47">
        <f>SUM(B15:B18)</f>
        <v>0</v>
      </c>
      <c r="C19" s="47">
        <f t="shared" ref="C19:H19" si="4">SUM(C15:C18)</f>
        <v>0</v>
      </c>
      <c r="D19" s="47">
        <f t="shared" si="0"/>
        <v>0</v>
      </c>
      <c r="E19" s="47">
        <f t="shared" si="1"/>
        <v>0</v>
      </c>
      <c r="F19" s="47">
        <f t="shared" si="4"/>
        <v>0</v>
      </c>
      <c r="G19" s="47">
        <f t="shared" si="4"/>
        <v>0</v>
      </c>
      <c r="H19" s="47">
        <f t="shared" si="4"/>
        <v>0</v>
      </c>
    </row>
    <row r="20" spans="1:8" x14ac:dyDescent="0.25">
      <c r="A20" s="321"/>
    </row>
    <row r="21" spans="1:8" x14ac:dyDescent="0.25">
      <c r="A21" s="67" t="s">
        <v>520</v>
      </c>
      <c r="B21" s="24"/>
      <c r="C21" s="24"/>
      <c r="D21" s="24"/>
    </row>
    <row r="22" spans="1:8" x14ac:dyDescent="0.25">
      <c r="A22" s="566" t="s">
        <v>1167</v>
      </c>
      <c r="B22" s="566"/>
      <c r="C22" s="566"/>
      <c r="D22" s="24"/>
    </row>
    <row r="23" spans="1:8" x14ac:dyDescent="0.25">
      <c r="A23" s="565" t="s">
        <v>1168</v>
      </c>
      <c r="B23" s="565"/>
      <c r="C23" s="24"/>
      <c r="D23" s="24"/>
    </row>
    <row r="24" spans="1:8" x14ac:dyDescent="0.25">
      <c r="A24" s="565" t="s">
        <v>1169</v>
      </c>
      <c r="B24" s="565"/>
      <c r="C24" s="565"/>
      <c r="D24" s="565"/>
    </row>
  </sheetData>
  <mergeCells count="10">
    <mergeCell ref="A24:D24"/>
    <mergeCell ref="H6:H7"/>
    <mergeCell ref="A22:C22"/>
    <mergeCell ref="A23:B23"/>
    <mergeCell ref="A6:A7"/>
    <mergeCell ref="B6:B7"/>
    <mergeCell ref="C6:C7"/>
    <mergeCell ref="D6:E6"/>
    <mergeCell ref="F6:F7"/>
    <mergeCell ref="G6:G7"/>
  </mergeCells>
  <pageMargins left="0.7" right="0.7" top="0.75" bottom="0.75" header="0.3" footer="0.3"/>
  <pageSetup paperSize="9" scale="6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workbookViewId="0">
      <selection activeCell="D1" sqref="D1"/>
    </sheetView>
  </sheetViews>
  <sheetFormatPr baseColWidth="10" defaultColWidth="11.44140625" defaultRowHeight="14.4" x14ac:dyDescent="0.3"/>
  <cols>
    <col min="1" max="1" width="36.21875" customWidth="1"/>
    <col min="2" max="2" width="8.109375" customWidth="1"/>
    <col min="3" max="3" width="7.88671875" customWidth="1"/>
    <col min="6" max="6" width="9.5546875" customWidth="1"/>
    <col min="7" max="7" width="10.5546875" customWidth="1"/>
    <col min="8" max="8" width="10" customWidth="1"/>
  </cols>
  <sheetData>
    <row r="2" spans="1:8" x14ac:dyDescent="0.3">
      <c r="A2" s="5"/>
      <c r="B2" s="5"/>
      <c r="C2" s="5"/>
      <c r="D2" s="5"/>
      <c r="E2" s="5"/>
      <c r="F2" s="5"/>
      <c r="G2" s="5"/>
      <c r="H2" s="5"/>
    </row>
    <row r="3" spans="1:8" x14ac:dyDescent="0.3">
      <c r="A3" s="5"/>
      <c r="B3" s="5"/>
      <c r="C3" s="5"/>
      <c r="D3" s="5"/>
      <c r="E3" s="5"/>
      <c r="F3" s="5"/>
      <c r="G3" s="5"/>
      <c r="H3" s="5"/>
    </row>
    <row r="4" spans="1:8" x14ac:dyDescent="0.3">
      <c r="A4" s="5"/>
      <c r="B4" s="5"/>
      <c r="C4" s="5"/>
      <c r="D4" s="5"/>
      <c r="E4" s="5"/>
      <c r="F4" s="5"/>
      <c r="G4" s="5"/>
      <c r="H4" s="5"/>
    </row>
    <row r="5" spans="1:8" x14ac:dyDescent="0.3">
      <c r="A5" s="5"/>
      <c r="B5" s="5"/>
      <c r="C5" s="5"/>
      <c r="D5" s="5"/>
      <c r="E5" s="5"/>
      <c r="F5" s="5"/>
      <c r="G5" s="5"/>
      <c r="H5" s="5"/>
    </row>
    <row r="6" spans="1:8" ht="3" customHeight="1" x14ac:dyDescent="0.3">
      <c r="A6" s="5"/>
      <c r="B6" s="5"/>
      <c r="C6" s="5"/>
      <c r="D6" s="5"/>
      <c r="E6" s="5"/>
      <c r="F6" s="5"/>
      <c r="G6" s="5"/>
      <c r="H6" s="5"/>
    </row>
    <row r="7" spans="1:8" ht="27.75" customHeight="1" x14ac:dyDescent="0.3">
      <c r="A7" s="568" t="s">
        <v>337</v>
      </c>
      <c r="B7" s="568" t="s">
        <v>505</v>
      </c>
      <c r="C7" s="568" t="s">
        <v>506</v>
      </c>
      <c r="D7" s="570" t="s">
        <v>523</v>
      </c>
      <c r="E7" s="571"/>
      <c r="F7" s="536" t="s">
        <v>508</v>
      </c>
      <c r="G7" s="536" t="s">
        <v>509</v>
      </c>
      <c r="H7" s="536" t="s">
        <v>510</v>
      </c>
    </row>
    <row r="8" spans="1:8" ht="47.25" customHeight="1" x14ac:dyDescent="0.3">
      <c r="A8" s="569"/>
      <c r="B8" s="569"/>
      <c r="C8" s="569"/>
      <c r="D8" s="14" t="s">
        <v>524</v>
      </c>
      <c r="E8" s="14" t="s">
        <v>525</v>
      </c>
      <c r="F8" s="537"/>
      <c r="G8" s="537"/>
      <c r="H8" s="537"/>
    </row>
    <row r="9" spans="1:8" x14ac:dyDescent="0.3">
      <c r="A9" s="15" t="s">
        <v>358</v>
      </c>
      <c r="B9" s="15"/>
      <c r="C9" s="15"/>
      <c r="D9" s="15">
        <f>B9-C9</f>
        <v>0</v>
      </c>
      <c r="E9" s="15">
        <f>IF(C9=0,0,(B9-C9)/C9)*100</f>
        <v>0</v>
      </c>
      <c r="F9" s="15"/>
      <c r="G9" s="15"/>
      <c r="H9" s="15"/>
    </row>
    <row r="10" spans="1:8" x14ac:dyDescent="0.3">
      <c r="A10" s="15" t="s">
        <v>561</v>
      </c>
      <c r="B10" s="15"/>
      <c r="C10" s="15"/>
      <c r="D10" s="15">
        <f t="shared" ref="D10:D18" si="0">B10-C10</f>
        <v>0</v>
      </c>
      <c r="E10" s="15">
        <f t="shared" ref="E10:E18" si="1">IF(C10=0,0,(B10-C10)/C10)*100</f>
        <v>0</v>
      </c>
      <c r="F10" s="15"/>
      <c r="G10" s="15"/>
      <c r="H10" s="15"/>
    </row>
    <row r="11" spans="1:8" x14ac:dyDescent="0.3">
      <c r="A11" s="15" t="s">
        <v>562</v>
      </c>
      <c r="B11" s="15"/>
      <c r="C11" s="15"/>
      <c r="D11" s="15">
        <f t="shared" si="0"/>
        <v>0</v>
      </c>
      <c r="E11" s="15">
        <f t="shared" si="1"/>
        <v>0</v>
      </c>
      <c r="F11" s="15"/>
      <c r="G11" s="15"/>
      <c r="H11" s="15"/>
    </row>
    <row r="12" spans="1:8" ht="27.6" x14ac:dyDescent="0.3">
      <c r="A12" s="26" t="s">
        <v>563</v>
      </c>
      <c r="B12" s="15"/>
      <c r="C12" s="15"/>
      <c r="D12" s="15">
        <f t="shared" si="0"/>
        <v>0</v>
      </c>
      <c r="E12" s="15">
        <f t="shared" si="1"/>
        <v>0</v>
      </c>
      <c r="F12" s="15"/>
      <c r="G12" s="15"/>
      <c r="H12" s="15"/>
    </row>
    <row r="13" spans="1:8" ht="27.6" x14ac:dyDescent="0.3">
      <c r="A13" s="8" t="s">
        <v>362</v>
      </c>
      <c r="B13" s="16"/>
      <c r="C13" s="15"/>
      <c r="D13" s="15">
        <f t="shared" si="0"/>
        <v>0</v>
      </c>
      <c r="E13" s="15">
        <f t="shared" si="1"/>
        <v>0</v>
      </c>
      <c r="F13" s="15"/>
      <c r="G13" s="15"/>
      <c r="H13" s="15"/>
    </row>
    <row r="14" spans="1:8" x14ac:dyDescent="0.3">
      <c r="A14" s="15" t="s">
        <v>564</v>
      </c>
      <c r="B14" s="15"/>
      <c r="C14" s="15"/>
      <c r="D14" s="15">
        <f t="shared" si="0"/>
        <v>0</v>
      </c>
      <c r="E14" s="15">
        <f t="shared" si="1"/>
        <v>0</v>
      </c>
      <c r="F14" s="15"/>
      <c r="G14" s="15"/>
      <c r="H14" s="15"/>
    </row>
    <row r="15" spans="1:8" x14ac:dyDescent="0.3">
      <c r="A15" s="15" t="s">
        <v>565</v>
      </c>
      <c r="B15" s="15"/>
      <c r="C15" s="15"/>
      <c r="D15" s="15">
        <f t="shared" si="0"/>
        <v>0</v>
      </c>
      <c r="E15" s="15">
        <f t="shared" si="1"/>
        <v>0</v>
      </c>
      <c r="F15" s="15"/>
      <c r="G15" s="15"/>
      <c r="H15" s="15"/>
    </row>
    <row r="16" spans="1:8" x14ac:dyDescent="0.3">
      <c r="A16" s="17" t="s">
        <v>518</v>
      </c>
      <c r="B16" s="18">
        <f>SUM(B9:B15)</f>
        <v>0</v>
      </c>
      <c r="C16" s="18">
        <f t="shared" ref="C16:H16" si="2">SUM(C9:C15)</f>
        <v>0</v>
      </c>
      <c r="D16" s="18">
        <f t="shared" si="0"/>
        <v>0</v>
      </c>
      <c r="E16" s="18">
        <f t="shared" si="1"/>
        <v>0</v>
      </c>
      <c r="F16" s="18">
        <f t="shared" si="2"/>
        <v>0</v>
      </c>
      <c r="G16" s="18">
        <f t="shared" si="2"/>
        <v>0</v>
      </c>
      <c r="H16" s="18">
        <f t="shared" si="2"/>
        <v>0</v>
      </c>
    </row>
    <row r="17" spans="1:8" x14ac:dyDescent="0.3">
      <c r="A17" s="15" t="s">
        <v>566</v>
      </c>
      <c r="B17" s="15">
        <v>0</v>
      </c>
      <c r="C17" s="15">
        <v>0</v>
      </c>
      <c r="D17" s="15">
        <f t="shared" si="0"/>
        <v>0</v>
      </c>
      <c r="E17" s="15">
        <f t="shared" si="1"/>
        <v>0</v>
      </c>
      <c r="F17" s="20"/>
      <c r="G17" s="20"/>
      <c r="H17" s="20"/>
    </row>
    <row r="18" spans="1:8" x14ac:dyDescent="0.3">
      <c r="A18" s="21" t="s">
        <v>567</v>
      </c>
      <c r="B18" s="123">
        <f>B16-B17</f>
        <v>0</v>
      </c>
      <c r="C18" s="123">
        <f t="shared" ref="C18" si="3">C16-C17</f>
        <v>0</v>
      </c>
      <c r="D18" s="47">
        <f t="shared" si="0"/>
        <v>0</v>
      </c>
      <c r="E18" s="47">
        <f t="shared" si="1"/>
        <v>0</v>
      </c>
      <c r="F18" s="22"/>
      <c r="G18" s="22"/>
      <c r="H18" s="22"/>
    </row>
    <row r="19" spans="1:8" x14ac:dyDescent="0.3">
      <c r="A19" s="5"/>
      <c r="B19" s="5"/>
      <c r="C19" s="5"/>
      <c r="D19" s="5"/>
      <c r="E19" s="5"/>
      <c r="F19" s="5"/>
      <c r="G19" s="5"/>
      <c r="H19" s="5"/>
    </row>
    <row r="20" spans="1:8" x14ac:dyDescent="0.3">
      <c r="A20" s="23" t="s">
        <v>568</v>
      </c>
      <c r="B20" s="24"/>
      <c r="C20" s="24"/>
      <c r="D20" s="24"/>
      <c r="E20" s="24"/>
      <c r="F20" s="24"/>
      <c r="G20" s="24"/>
      <c r="H20" s="5"/>
    </row>
    <row r="21" spans="1:8" x14ac:dyDescent="0.3">
      <c r="A21" s="25" t="s">
        <v>578</v>
      </c>
      <c r="B21" s="24"/>
      <c r="C21" s="24"/>
      <c r="D21" s="24"/>
      <c r="E21" s="24"/>
      <c r="F21" s="24"/>
      <c r="G21" s="24"/>
      <c r="H21" s="5"/>
    </row>
    <row r="22" spans="1:8" x14ac:dyDescent="0.3">
      <c r="A22" s="25" t="s">
        <v>579</v>
      </c>
      <c r="B22" s="24"/>
      <c r="C22" s="24"/>
      <c r="D22" s="24"/>
      <c r="E22" s="24"/>
      <c r="F22" s="24"/>
      <c r="G22" s="24"/>
      <c r="H22" s="5"/>
    </row>
    <row r="23" spans="1:8" x14ac:dyDescent="0.3">
      <c r="A23" s="25" t="s">
        <v>580</v>
      </c>
      <c r="B23" s="24"/>
      <c r="C23" s="24"/>
      <c r="D23" s="24"/>
      <c r="E23" s="24"/>
      <c r="F23" s="24"/>
      <c r="G23" s="24"/>
      <c r="H23" s="5"/>
    </row>
    <row r="24" spans="1:8" x14ac:dyDescent="0.3">
      <c r="A24" s="25" t="s">
        <v>581</v>
      </c>
      <c r="B24" s="24"/>
      <c r="C24" s="24"/>
      <c r="D24" s="24"/>
      <c r="E24" s="24"/>
      <c r="F24" s="24"/>
      <c r="G24" s="24"/>
      <c r="H24" s="5"/>
    </row>
    <row r="25" spans="1:8" x14ac:dyDescent="0.3">
      <c r="A25" s="3"/>
      <c r="B25" s="24"/>
      <c r="C25" s="24"/>
      <c r="D25" s="24"/>
      <c r="E25" s="24"/>
      <c r="F25" s="24"/>
      <c r="G25" s="24"/>
      <c r="H25" s="5"/>
    </row>
    <row r="26" spans="1:8" x14ac:dyDescent="0.3">
      <c r="A26" s="5"/>
      <c r="B26" s="5"/>
      <c r="C26" s="5"/>
      <c r="D26" s="5"/>
      <c r="E26" s="5"/>
      <c r="F26" s="5"/>
      <c r="G26" s="5"/>
      <c r="H26" s="5"/>
    </row>
  </sheetData>
  <mergeCells count="7">
    <mergeCell ref="H7:H8"/>
    <mergeCell ref="A7:A8"/>
    <mergeCell ref="B7:B8"/>
    <mergeCell ref="C7:C8"/>
    <mergeCell ref="D7:E7"/>
    <mergeCell ref="F7:F8"/>
    <mergeCell ref="G7:G8"/>
  </mergeCells>
  <pageMargins left="0.7" right="0.7" top="0.75" bottom="0.75" header="0.3" footer="0.3"/>
  <pageSetup paperSize="9" scale="83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25"/>
  <sheetViews>
    <sheetView topLeftCell="A2" workbookViewId="0">
      <selection activeCell="G16" sqref="G16"/>
    </sheetView>
  </sheetViews>
  <sheetFormatPr baseColWidth="10" defaultColWidth="11.44140625" defaultRowHeight="14.4" x14ac:dyDescent="0.3"/>
  <cols>
    <col min="1" max="1" width="42.44140625" customWidth="1"/>
  </cols>
  <sheetData>
    <row r="4" spans="1:8" x14ac:dyDescent="0.3">
      <c r="A4" s="5"/>
      <c r="B4" s="5"/>
      <c r="C4" s="5"/>
      <c r="D4" s="5"/>
      <c r="E4" s="5"/>
      <c r="F4" s="5"/>
      <c r="G4" s="5"/>
      <c r="H4" s="5"/>
    </row>
    <row r="5" spans="1:8" x14ac:dyDescent="0.3">
      <c r="A5" s="5"/>
      <c r="B5" s="5"/>
      <c r="C5" s="5"/>
      <c r="D5" s="5"/>
      <c r="E5" s="5"/>
      <c r="F5" s="5"/>
      <c r="G5" s="5"/>
      <c r="H5" s="5"/>
    </row>
    <row r="6" spans="1:8" x14ac:dyDescent="0.3">
      <c r="A6" s="573" t="s">
        <v>337</v>
      </c>
      <c r="B6" s="573" t="s">
        <v>505</v>
      </c>
      <c r="C6" s="573" t="s">
        <v>569</v>
      </c>
      <c r="D6" s="573" t="s">
        <v>523</v>
      </c>
      <c r="E6" s="573"/>
      <c r="F6" s="6"/>
      <c r="G6" s="5"/>
      <c r="H6" s="5"/>
    </row>
    <row r="7" spans="1:8" x14ac:dyDescent="0.3">
      <c r="A7" s="573"/>
      <c r="B7" s="573"/>
      <c r="C7" s="573"/>
      <c r="D7" s="13" t="s">
        <v>524</v>
      </c>
      <c r="E7" s="13" t="s">
        <v>525</v>
      </c>
      <c r="F7" s="6"/>
      <c r="G7" s="5"/>
      <c r="H7" s="5"/>
    </row>
    <row r="8" spans="1:8" x14ac:dyDescent="0.3">
      <c r="A8" s="7" t="s">
        <v>570</v>
      </c>
      <c r="B8" s="7"/>
      <c r="C8" s="7"/>
      <c r="D8" s="7">
        <f>B8-C8</f>
        <v>0</v>
      </c>
      <c r="E8" s="7">
        <f>IF(C8=0,0,(B8-C8)/C8)*100</f>
        <v>0</v>
      </c>
      <c r="F8" s="6"/>
      <c r="G8" s="5"/>
      <c r="H8" s="5"/>
    </row>
    <row r="9" spans="1:8" x14ac:dyDescent="0.3">
      <c r="A9" s="7" t="s">
        <v>571</v>
      </c>
      <c r="B9" s="8"/>
      <c r="C9" s="7"/>
      <c r="D9" s="7">
        <f t="shared" ref="D9:D17" si="0">B9-C9</f>
        <v>0</v>
      </c>
      <c r="E9" s="7">
        <f t="shared" ref="E9:E17" si="1">IF(C9=0,0,(B9-C9)/C9)*100</f>
        <v>0</v>
      </c>
      <c r="F9" s="6"/>
      <c r="G9" s="5"/>
      <c r="H9" s="5"/>
    </row>
    <row r="10" spans="1:8" x14ac:dyDescent="0.3">
      <c r="A10" s="7" t="s">
        <v>572</v>
      </c>
      <c r="B10" s="7"/>
      <c r="C10" s="7"/>
      <c r="D10" s="7">
        <f t="shared" si="0"/>
        <v>0</v>
      </c>
      <c r="E10" s="7">
        <f t="shared" si="1"/>
        <v>0</v>
      </c>
      <c r="F10" s="6"/>
      <c r="G10" s="5"/>
      <c r="H10" s="5"/>
    </row>
    <row r="11" spans="1:8" x14ac:dyDescent="0.3">
      <c r="A11" s="7" t="s">
        <v>573</v>
      </c>
      <c r="B11" s="7"/>
      <c r="C11" s="7"/>
      <c r="D11" s="7">
        <f t="shared" si="0"/>
        <v>0</v>
      </c>
      <c r="E11" s="7">
        <f t="shared" si="1"/>
        <v>0</v>
      </c>
      <c r="F11" s="6"/>
      <c r="G11" s="5"/>
      <c r="H11" s="5"/>
    </row>
    <row r="12" spans="1:8" x14ac:dyDescent="0.3">
      <c r="A12" s="7" t="s">
        <v>574</v>
      </c>
      <c r="B12" s="7"/>
      <c r="C12" s="7"/>
      <c r="D12" s="7">
        <f t="shared" si="0"/>
        <v>0</v>
      </c>
      <c r="E12" s="7">
        <f t="shared" si="1"/>
        <v>0</v>
      </c>
      <c r="F12" s="6"/>
      <c r="G12" s="5"/>
      <c r="H12" s="5"/>
    </row>
    <row r="13" spans="1:8" x14ac:dyDescent="0.3">
      <c r="A13" s="7" t="s">
        <v>575</v>
      </c>
      <c r="B13" s="7"/>
      <c r="C13" s="7"/>
      <c r="D13" s="7">
        <f t="shared" si="0"/>
        <v>0</v>
      </c>
      <c r="E13" s="7">
        <f t="shared" si="1"/>
        <v>0</v>
      </c>
      <c r="F13" s="6"/>
      <c r="G13" s="5"/>
      <c r="H13" s="5"/>
    </row>
    <row r="14" spans="1:8" x14ac:dyDescent="0.3">
      <c r="A14" s="7" t="s">
        <v>576</v>
      </c>
      <c r="B14" s="7"/>
      <c r="C14" s="7"/>
      <c r="D14" s="7">
        <f t="shared" si="0"/>
        <v>0</v>
      </c>
      <c r="E14" s="7">
        <f t="shared" si="1"/>
        <v>0</v>
      </c>
      <c r="F14" s="6"/>
      <c r="G14" s="5"/>
      <c r="H14" s="5"/>
    </row>
    <row r="15" spans="1:8" x14ac:dyDescent="0.3">
      <c r="A15" s="9" t="s">
        <v>518</v>
      </c>
      <c r="B15" s="10">
        <f>SUM(B8:B14)</f>
        <v>0</v>
      </c>
      <c r="C15" s="10">
        <f t="shared" ref="C15" si="2">SUM(C8:C14)</f>
        <v>0</v>
      </c>
      <c r="D15" s="10">
        <f t="shared" si="0"/>
        <v>0</v>
      </c>
      <c r="E15" s="10">
        <f t="shared" si="1"/>
        <v>0</v>
      </c>
      <c r="F15" s="6"/>
      <c r="G15" s="5"/>
      <c r="H15" s="5"/>
    </row>
    <row r="16" spans="1:8" x14ac:dyDescent="0.3">
      <c r="A16" s="7" t="s">
        <v>577</v>
      </c>
      <c r="B16" s="7"/>
      <c r="C16" s="7"/>
      <c r="D16" s="7">
        <f t="shared" si="0"/>
        <v>0</v>
      </c>
      <c r="E16" s="7">
        <f t="shared" si="1"/>
        <v>0</v>
      </c>
      <c r="F16" s="6"/>
      <c r="G16" s="5"/>
      <c r="H16" s="5"/>
    </row>
    <row r="17" spans="1:8" x14ac:dyDescent="0.3">
      <c r="A17" s="11" t="s">
        <v>567</v>
      </c>
      <c r="B17" s="90">
        <f>B15-B16</f>
        <v>0</v>
      </c>
      <c r="C17" s="90">
        <f t="shared" ref="C17" si="3">C15-C16</f>
        <v>0</v>
      </c>
      <c r="D17" s="90">
        <f t="shared" si="0"/>
        <v>0</v>
      </c>
      <c r="E17" s="90">
        <f t="shared" si="1"/>
        <v>0</v>
      </c>
      <c r="F17" s="6"/>
      <c r="G17" s="5"/>
      <c r="H17" s="5"/>
    </row>
    <row r="18" spans="1:8" x14ac:dyDescent="0.3">
      <c r="A18" s="6"/>
      <c r="B18" s="6"/>
      <c r="C18" s="6"/>
      <c r="D18" s="6"/>
      <c r="E18" s="6"/>
      <c r="F18" s="6"/>
      <c r="G18" s="5"/>
      <c r="H18" s="5"/>
    </row>
    <row r="19" spans="1:8" x14ac:dyDescent="0.3">
      <c r="A19" s="12" t="s">
        <v>382</v>
      </c>
      <c r="B19" s="6"/>
      <c r="C19" s="6"/>
      <c r="D19" s="6"/>
      <c r="E19" s="6"/>
      <c r="F19" s="6"/>
      <c r="G19" s="5"/>
      <c r="H19" s="5"/>
    </row>
    <row r="20" spans="1:8" x14ac:dyDescent="0.3">
      <c r="A20" s="6" t="s">
        <v>585</v>
      </c>
      <c r="B20" s="6"/>
      <c r="C20" s="6"/>
      <c r="D20" s="6"/>
      <c r="E20" s="6"/>
      <c r="F20" s="6"/>
      <c r="G20" s="5"/>
      <c r="H20" s="5"/>
    </row>
    <row r="21" spans="1:8" ht="30.75" customHeight="1" x14ac:dyDescent="0.3">
      <c r="A21" s="574" t="s">
        <v>584</v>
      </c>
      <c r="B21" s="574"/>
      <c r="C21" s="574"/>
      <c r="D21" s="574"/>
      <c r="E21" s="574"/>
      <c r="F21" s="6"/>
      <c r="G21" s="5"/>
      <c r="H21" s="5"/>
    </row>
    <row r="22" spans="1:8" ht="28.5" customHeight="1" x14ac:dyDescent="0.3">
      <c r="A22" s="574" t="s">
        <v>583</v>
      </c>
      <c r="B22" s="574"/>
      <c r="C22" s="574"/>
      <c r="D22" s="574"/>
      <c r="E22" s="574"/>
      <c r="F22" s="6"/>
      <c r="G22" s="5"/>
      <c r="H22" s="5"/>
    </row>
    <row r="23" spans="1:8" x14ac:dyDescent="0.3">
      <c r="A23" s="572" t="s">
        <v>582</v>
      </c>
      <c r="B23" s="572"/>
      <c r="C23" s="572"/>
      <c r="D23" s="572"/>
      <c r="E23" s="572"/>
      <c r="F23" s="6"/>
      <c r="G23" s="5"/>
      <c r="H23" s="5"/>
    </row>
    <row r="24" spans="1:8" x14ac:dyDescent="0.3">
      <c r="A24" s="5"/>
      <c r="B24" s="5"/>
      <c r="C24" s="5"/>
      <c r="D24" s="5"/>
      <c r="E24" s="5"/>
      <c r="F24" s="5"/>
      <c r="G24" s="5"/>
      <c r="H24" s="5"/>
    </row>
    <row r="25" spans="1:8" x14ac:dyDescent="0.3">
      <c r="A25" s="5"/>
      <c r="B25" s="5"/>
      <c r="C25" s="5"/>
      <c r="D25" s="5"/>
      <c r="E25" s="5"/>
      <c r="F25" s="5"/>
      <c r="G25" s="5"/>
      <c r="H25" s="5"/>
    </row>
  </sheetData>
  <mergeCells count="7">
    <mergeCell ref="A23:E23"/>
    <mergeCell ref="A6:A7"/>
    <mergeCell ref="B6:B7"/>
    <mergeCell ref="C6:C7"/>
    <mergeCell ref="D6:E6"/>
    <mergeCell ref="A21:E21"/>
    <mergeCell ref="A22:E22"/>
  </mergeCells>
  <pageMargins left="0.7" right="0.7" top="0.75" bottom="0.75" header="0.3" footer="0.3"/>
  <pageSetup paperSize="9" scale="8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20"/>
  <sheetViews>
    <sheetView workbookViewId="0">
      <selection activeCell="B14" sqref="B14:E14"/>
    </sheetView>
  </sheetViews>
  <sheetFormatPr baseColWidth="10" defaultColWidth="11.44140625" defaultRowHeight="13.8" x14ac:dyDescent="0.25"/>
  <cols>
    <col min="1" max="1" width="39.5546875" style="5" customWidth="1"/>
    <col min="2" max="2" width="13" style="5" customWidth="1"/>
    <col min="3" max="3" width="14" style="5" customWidth="1"/>
    <col min="4" max="16384" width="11.44140625" style="5"/>
  </cols>
  <sheetData>
    <row r="6" spans="1:5" x14ac:dyDescent="0.25">
      <c r="A6" s="573" t="s">
        <v>337</v>
      </c>
      <c r="B6" s="573" t="s">
        <v>505</v>
      </c>
      <c r="C6" s="573" t="s">
        <v>506</v>
      </c>
      <c r="D6" s="575" t="s">
        <v>523</v>
      </c>
      <c r="E6" s="575"/>
    </row>
    <row r="7" spans="1:5" x14ac:dyDescent="0.25">
      <c r="A7" s="573"/>
      <c r="B7" s="573"/>
      <c r="C7" s="573"/>
      <c r="D7" s="27" t="s">
        <v>524</v>
      </c>
      <c r="E7" s="27" t="s">
        <v>525</v>
      </c>
    </row>
    <row r="8" spans="1:5" x14ac:dyDescent="0.25">
      <c r="A8" s="15" t="s">
        <v>588</v>
      </c>
      <c r="B8" s="15"/>
      <c r="C8" s="15"/>
      <c r="D8" s="15">
        <f>B8-C8</f>
        <v>0</v>
      </c>
      <c r="E8" s="15">
        <f>IF(C8=0,0,(B8-C8)/C8)*100</f>
        <v>0</v>
      </c>
    </row>
    <row r="9" spans="1:5" x14ac:dyDescent="0.25">
      <c r="A9" s="15" t="s">
        <v>589</v>
      </c>
      <c r="B9" s="15"/>
      <c r="C9" s="15"/>
      <c r="D9" s="15">
        <f t="shared" ref="D9:D14" si="0">B9-C9</f>
        <v>0</v>
      </c>
      <c r="E9" s="15">
        <f t="shared" ref="E9:E14" si="1">IF(C9=0,0,(B9-C9)/C9)*100</f>
        <v>0</v>
      </c>
    </row>
    <row r="10" spans="1:5" x14ac:dyDescent="0.25">
      <c r="A10" s="15" t="s">
        <v>1175</v>
      </c>
      <c r="B10" s="15"/>
      <c r="C10" s="15"/>
      <c r="D10" s="15">
        <f t="shared" si="0"/>
        <v>0</v>
      </c>
      <c r="E10" s="15">
        <f t="shared" si="1"/>
        <v>0</v>
      </c>
    </row>
    <row r="11" spans="1:5" x14ac:dyDescent="0.25">
      <c r="A11" s="15" t="s">
        <v>586</v>
      </c>
      <c r="B11" s="15"/>
      <c r="C11" s="15"/>
      <c r="D11" s="15">
        <f t="shared" si="0"/>
        <v>0</v>
      </c>
      <c r="E11" s="15">
        <f t="shared" si="1"/>
        <v>0</v>
      </c>
    </row>
    <row r="12" spans="1:5" x14ac:dyDescent="0.25">
      <c r="A12" s="17" t="s">
        <v>518</v>
      </c>
      <c r="B12" s="18">
        <f>SUM(B8:B11)</f>
        <v>0</v>
      </c>
      <c r="C12" s="18">
        <f t="shared" ref="C12" si="2">SUM(C8:C11)</f>
        <v>0</v>
      </c>
      <c r="D12" s="18">
        <f t="shared" si="0"/>
        <v>0</v>
      </c>
      <c r="E12" s="18">
        <f t="shared" si="1"/>
        <v>0</v>
      </c>
    </row>
    <row r="13" spans="1:5" x14ac:dyDescent="0.25">
      <c r="A13" s="15" t="s">
        <v>587</v>
      </c>
      <c r="B13" s="15">
        <v>0</v>
      </c>
      <c r="C13" s="15">
        <v>0</v>
      </c>
      <c r="D13" s="15">
        <f t="shared" si="0"/>
        <v>0</v>
      </c>
      <c r="E13" s="15">
        <f t="shared" si="1"/>
        <v>0</v>
      </c>
    </row>
    <row r="14" spans="1:5" x14ac:dyDescent="0.25">
      <c r="A14" s="31" t="s">
        <v>567</v>
      </c>
      <c r="B14" s="47">
        <f>B12-B13</f>
        <v>0</v>
      </c>
      <c r="C14" s="47">
        <f t="shared" ref="C14" si="3">C12-C13</f>
        <v>0</v>
      </c>
      <c r="D14" s="47">
        <f t="shared" si="0"/>
        <v>0</v>
      </c>
      <c r="E14" s="47">
        <f t="shared" si="1"/>
        <v>0</v>
      </c>
    </row>
    <row r="16" spans="1:5" x14ac:dyDescent="0.25">
      <c r="A16" s="32" t="s">
        <v>382</v>
      </c>
    </row>
    <row r="17" spans="1:6" x14ac:dyDescent="0.25">
      <c r="A17" s="5" t="s">
        <v>590</v>
      </c>
    </row>
    <row r="18" spans="1:6" x14ac:dyDescent="0.25">
      <c r="A18" s="535" t="s">
        <v>591</v>
      </c>
      <c r="B18" s="535"/>
      <c r="C18" s="535"/>
      <c r="D18" s="535"/>
      <c r="E18" s="535"/>
    </row>
    <row r="20" spans="1:6" ht="14.4" x14ac:dyDescent="0.3">
      <c r="A20"/>
      <c r="B20"/>
      <c r="C20"/>
      <c r="D20"/>
      <c r="E20"/>
      <c r="F20"/>
    </row>
  </sheetData>
  <mergeCells count="5">
    <mergeCell ref="A6:A7"/>
    <mergeCell ref="B6:B7"/>
    <mergeCell ref="C6:C7"/>
    <mergeCell ref="D6:E6"/>
    <mergeCell ref="A18:E18"/>
  </mergeCells>
  <pageMargins left="0.7" right="0.7" top="0.75" bottom="0.75" header="0.3" footer="0.3"/>
  <pageSetup paperSize="9" scale="86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31"/>
  <sheetViews>
    <sheetView topLeftCell="A5" workbookViewId="0">
      <selection activeCell="K34" sqref="K34"/>
    </sheetView>
  </sheetViews>
  <sheetFormatPr baseColWidth="10" defaultColWidth="11.44140625" defaultRowHeight="13.8" x14ac:dyDescent="0.25"/>
  <cols>
    <col min="1" max="1" width="43.88671875" style="5" customWidth="1"/>
    <col min="2" max="3" width="11.44140625" style="5"/>
    <col min="4" max="4" width="11.44140625" style="5" customWidth="1"/>
    <col min="5" max="5" width="9.21875" style="5" customWidth="1"/>
    <col min="6" max="16384" width="11.44140625" style="5"/>
  </cols>
  <sheetData>
    <row r="6" spans="1:5" x14ac:dyDescent="0.25">
      <c r="A6" s="577" t="s">
        <v>337</v>
      </c>
      <c r="B6" s="577" t="s">
        <v>505</v>
      </c>
      <c r="C6" s="577" t="s">
        <v>506</v>
      </c>
      <c r="D6" s="540" t="s">
        <v>523</v>
      </c>
      <c r="E6" s="540"/>
    </row>
    <row r="7" spans="1:5" x14ac:dyDescent="0.25">
      <c r="A7" s="577"/>
      <c r="B7" s="577"/>
      <c r="C7" s="577"/>
      <c r="D7" s="33" t="s">
        <v>524</v>
      </c>
      <c r="E7" s="33" t="s">
        <v>525</v>
      </c>
    </row>
    <row r="8" spans="1:5" x14ac:dyDescent="0.25">
      <c r="A8" s="15" t="s">
        <v>592</v>
      </c>
      <c r="B8" s="15">
        <v>98375375</v>
      </c>
      <c r="C8" s="15">
        <v>86376516</v>
      </c>
      <c r="D8" s="15">
        <f>B8-C8</f>
        <v>11998859</v>
      </c>
      <c r="E8" s="15">
        <f>IF(C8=0,0,(B8-C8)/C8)*100</f>
        <v>13.891344031518937</v>
      </c>
    </row>
    <row r="9" spans="1:5" x14ac:dyDescent="0.25">
      <c r="A9" s="15" t="s">
        <v>593</v>
      </c>
      <c r="B9" s="15"/>
      <c r="C9" s="15"/>
      <c r="D9" s="15">
        <f t="shared" ref="D9:D20" si="0">B9-C9</f>
        <v>0</v>
      </c>
      <c r="E9" s="15">
        <f t="shared" ref="E9:E20" si="1">IF(C9=0,0,(B9-C9)/C9)*100</f>
        <v>0</v>
      </c>
    </row>
    <row r="10" spans="1:5" x14ac:dyDescent="0.25">
      <c r="A10" s="15" t="s">
        <v>594</v>
      </c>
      <c r="B10" s="15"/>
      <c r="C10" s="15"/>
      <c r="D10" s="15">
        <f t="shared" si="0"/>
        <v>0</v>
      </c>
      <c r="E10" s="15">
        <f t="shared" si="1"/>
        <v>0</v>
      </c>
    </row>
    <row r="11" spans="1:5" x14ac:dyDescent="0.25">
      <c r="A11" s="15" t="s">
        <v>595</v>
      </c>
      <c r="B11" s="15"/>
      <c r="C11" s="15"/>
      <c r="D11" s="15">
        <f t="shared" si="0"/>
        <v>0</v>
      </c>
      <c r="E11" s="15">
        <f t="shared" si="1"/>
        <v>0</v>
      </c>
    </row>
    <row r="12" spans="1:5" x14ac:dyDescent="0.25">
      <c r="A12" s="15" t="s">
        <v>596</v>
      </c>
      <c r="B12" s="15"/>
      <c r="C12" s="15"/>
      <c r="D12" s="15">
        <f t="shared" si="0"/>
        <v>0</v>
      </c>
      <c r="E12" s="15">
        <f t="shared" si="1"/>
        <v>0</v>
      </c>
    </row>
    <row r="13" spans="1:5" x14ac:dyDescent="0.25">
      <c r="A13" s="15" t="s">
        <v>597</v>
      </c>
      <c r="B13" s="15"/>
      <c r="C13" s="15"/>
      <c r="D13" s="15">
        <f t="shared" si="0"/>
        <v>0</v>
      </c>
      <c r="E13" s="15">
        <f t="shared" si="1"/>
        <v>0</v>
      </c>
    </row>
    <row r="14" spans="1:5" x14ac:dyDescent="0.25">
      <c r="A14" s="15" t="s">
        <v>598</v>
      </c>
      <c r="B14" s="15"/>
      <c r="C14" s="15"/>
      <c r="D14" s="15">
        <f t="shared" si="0"/>
        <v>0</v>
      </c>
      <c r="E14" s="15">
        <f t="shared" si="1"/>
        <v>0</v>
      </c>
    </row>
    <row r="15" spans="1:5" x14ac:dyDescent="0.25">
      <c r="A15" s="15" t="s">
        <v>599</v>
      </c>
      <c r="B15" s="15"/>
      <c r="C15" s="15"/>
      <c r="D15" s="15">
        <f t="shared" si="0"/>
        <v>0</v>
      </c>
      <c r="E15" s="15">
        <f t="shared" si="1"/>
        <v>0</v>
      </c>
    </row>
    <row r="16" spans="1:5" x14ac:dyDescent="0.25">
      <c r="A16" s="15" t="s">
        <v>600</v>
      </c>
      <c r="B16" s="15"/>
      <c r="C16" s="15"/>
      <c r="D16" s="15">
        <f t="shared" si="0"/>
        <v>0</v>
      </c>
      <c r="E16" s="15">
        <f t="shared" si="1"/>
        <v>0</v>
      </c>
    </row>
    <row r="17" spans="1:5" x14ac:dyDescent="0.25">
      <c r="A17" s="15" t="s">
        <v>601</v>
      </c>
      <c r="B17" s="15"/>
      <c r="C17" s="15"/>
      <c r="D17" s="15">
        <f t="shared" si="0"/>
        <v>0</v>
      </c>
      <c r="E17" s="15">
        <f t="shared" si="1"/>
        <v>0</v>
      </c>
    </row>
    <row r="18" spans="1:5" x14ac:dyDescent="0.25">
      <c r="A18" s="34" t="s">
        <v>518</v>
      </c>
      <c r="B18" s="18">
        <f>SUM(B8:B17)</f>
        <v>98375375</v>
      </c>
      <c r="C18" s="18">
        <f t="shared" ref="C18" si="2">SUM(C8:C17)</f>
        <v>86376516</v>
      </c>
      <c r="D18" s="18">
        <f t="shared" si="0"/>
        <v>11998859</v>
      </c>
      <c r="E18" s="18">
        <f t="shared" si="1"/>
        <v>13.891344031518937</v>
      </c>
    </row>
    <row r="19" spans="1:5" x14ac:dyDescent="0.25">
      <c r="A19" s="15" t="s">
        <v>602</v>
      </c>
      <c r="B19" s="15"/>
      <c r="C19" s="15"/>
      <c r="D19" s="15">
        <f t="shared" si="0"/>
        <v>0</v>
      </c>
      <c r="E19" s="15">
        <f t="shared" si="1"/>
        <v>0</v>
      </c>
    </row>
    <row r="20" spans="1:5" x14ac:dyDescent="0.25">
      <c r="A20" s="31" t="s">
        <v>567</v>
      </c>
      <c r="B20" s="47">
        <f>B18-B19</f>
        <v>98375375</v>
      </c>
      <c r="C20" s="47">
        <f t="shared" ref="C20" si="3">C18-C19</f>
        <v>86376516</v>
      </c>
      <c r="D20" s="47">
        <f t="shared" si="0"/>
        <v>11998859</v>
      </c>
      <c r="E20" s="47">
        <f t="shared" si="1"/>
        <v>13.891344031518937</v>
      </c>
    </row>
    <row r="22" spans="1:5" ht="14.4" x14ac:dyDescent="0.3">
      <c r="A22" s="23" t="s">
        <v>382</v>
      </c>
      <c r="B22" s="36"/>
      <c r="C22" s="36"/>
      <c r="D22" s="36"/>
      <c r="E22" s="36"/>
    </row>
    <row r="23" spans="1:5" x14ac:dyDescent="0.25">
      <c r="A23" s="528" t="s">
        <v>1226</v>
      </c>
      <c r="B23" s="528"/>
      <c r="C23" s="36"/>
      <c r="D23" s="36"/>
      <c r="E23" s="36"/>
    </row>
    <row r="24" spans="1:5" x14ac:dyDescent="0.25">
      <c r="A24" s="528" t="s">
        <v>1227</v>
      </c>
      <c r="B24" s="528"/>
      <c r="C24" s="528"/>
      <c r="D24" s="528"/>
      <c r="E24" s="528"/>
    </row>
    <row r="25" spans="1:5" x14ac:dyDescent="0.25">
      <c r="A25" s="36" t="s">
        <v>1228</v>
      </c>
      <c r="B25" s="36"/>
      <c r="C25" s="36"/>
      <c r="D25" s="36"/>
      <c r="E25" s="36"/>
    </row>
    <row r="26" spans="1:5" x14ac:dyDescent="0.25">
      <c r="A26" s="528" t="s">
        <v>405</v>
      </c>
      <c r="B26" s="528"/>
      <c r="C26" s="528"/>
      <c r="D26" s="528"/>
      <c r="E26" s="36"/>
    </row>
    <row r="27" spans="1:5" x14ac:dyDescent="0.25">
      <c r="A27" s="528" t="s">
        <v>405</v>
      </c>
      <c r="B27" s="528"/>
      <c r="C27" s="528"/>
      <c r="D27" s="528"/>
      <c r="E27" s="528"/>
    </row>
    <row r="28" spans="1:5" x14ac:dyDescent="0.25">
      <c r="A28" s="36"/>
      <c r="B28" s="36"/>
      <c r="C28" s="36"/>
      <c r="D28" s="36"/>
      <c r="E28" s="36"/>
    </row>
    <row r="30" spans="1:5" ht="33" customHeight="1" x14ac:dyDescent="0.3">
      <c r="A30" s="576" t="s">
        <v>603</v>
      </c>
      <c r="B30" s="576"/>
      <c r="C30" s="576"/>
      <c r="D30" s="576"/>
      <c r="E30" s="576"/>
    </row>
    <row r="31" spans="1:5" x14ac:dyDescent="0.25">
      <c r="A31" s="32"/>
      <c r="B31" s="32"/>
      <c r="C31" s="32"/>
      <c r="D31" s="32"/>
    </row>
  </sheetData>
  <mergeCells count="9">
    <mergeCell ref="A26:D26"/>
    <mergeCell ref="A27:E27"/>
    <mergeCell ref="A30:E30"/>
    <mergeCell ref="A6:A7"/>
    <mergeCell ref="B6:B7"/>
    <mergeCell ref="C6:C7"/>
    <mergeCell ref="D6:E6"/>
    <mergeCell ref="A23:B23"/>
    <mergeCell ref="A24:E24"/>
  </mergeCells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8"/>
  <sheetViews>
    <sheetView workbookViewId="0">
      <selection activeCell="G1" sqref="G1"/>
    </sheetView>
  </sheetViews>
  <sheetFormatPr baseColWidth="10" defaultColWidth="11.44140625" defaultRowHeight="13.8" x14ac:dyDescent="0.25"/>
  <cols>
    <col min="1" max="1" width="34.77734375" style="5" customWidth="1"/>
    <col min="2" max="16384" width="11.44140625" style="5"/>
  </cols>
  <sheetData>
    <row r="6" spans="1:6" ht="41.4" x14ac:dyDescent="0.25">
      <c r="A6" s="38" t="s">
        <v>337</v>
      </c>
      <c r="B6" s="38" t="s">
        <v>604</v>
      </c>
      <c r="C6" s="37" t="s">
        <v>605</v>
      </c>
      <c r="D6" s="37" t="s">
        <v>613</v>
      </c>
      <c r="E6" s="37" t="s">
        <v>606</v>
      </c>
      <c r="F6" s="37" t="s">
        <v>607</v>
      </c>
    </row>
    <row r="7" spans="1:6" ht="27.6" x14ac:dyDescent="0.25">
      <c r="A7" s="16" t="s">
        <v>610</v>
      </c>
      <c r="B7" s="15"/>
      <c r="C7" s="15"/>
      <c r="D7" s="16"/>
      <c r="E7" s="15"/>
      <c r="F7" s="15"/>
    </row>
    <row r="8" spans="1:6" x14ac:dyDescent="0.25">
      <c r="A8" s="15"/>
      <c r="B8" s="15"/>
      <c r="C8" s="15"/>
      <c r="D8" s="15"/>
      <c r="E8" s="15"/>
      <c r="F8" s="15"/>
    </row>
    <row r="9" spans="1:6" x14ac:dyDescent="0.25">
      <c r="A9" s="15"/>
      <c r="B9" s="15"/>
      <c r="C9" s="15"/>
      <c r="D9" s="15"/>
      <c r="E9" s="15"/>
      <c r="F9" s="15"/>
    </row>
    <row r="10" spans="1:6" ht="27.6" x14ac:dyDescent="0.25">
      <c r="A10" s="16" t="s">
        <v>611</v>
      </c>
      <c r="B10" s="15"/>
      <c r="C10" s="15"/>
      <c r="D10" s="15"/>
      <c r="E10" s="15"/>
      <c r="F10" s="15"/>
    </row>
    <row r="11" spans="1:6" x14ac:dyDescent="0.25">
      <c r="A11" s="15"/>
      <c r="B11" s="15"/>
      <c r="C11" s="15"/>
      <c r="D11" s="15"/>
      <c r="E11" s="15"/>
      <c r="F11" s="15"/>
    </row>
    <row r="12" spans="1:6" x14ac:dyDescent="0.25">
      <c r="A12" s="15"/>
      <c r="B12" s="15"/>
      <c r="C12" s="15"/>
      <c r="D12" s="15"/>
      <c r="E12" s="15"/>
      <c r="F12" s="15"/>
    </row>
    <row r="13" spans="1:6" x14ac:dyDescent="0.25">
      <c r="A13" s="15"/>
      <c r="B13" s="15"/>
      <c r="C13" s="15"/>
      <c r="D13" s="15"/>
      <c r="E13" s="15"/>
      <c r="F13" s="15"/>
    </row>
    <row r="14" spans="1:6" x14ac:dyDescent="0.25">
      <c r="A14" s="15"/>
      <c r="B14" s="15"/>
      <c r="C14" s="15"/>
      <c r="D14" s="15"/>
      <c r="E14" s="15"/>
      <c r="F14" s="15"/>
    </row>
    <row r="16" spans="1:6" ht="14.4" x14ac:dyDescent="0.3">
      <c r="A16" s="36" t="s">
        <v>612</v>
      </c>
    </row>
    <row r="17" spans="1:1" x14ac:dyDescent="0.25">
      <c r="A17" s="36" t="s">
        <v>608</v>
      </c>
    </row>
    <row r="18" spans="1:1" x14ac:dyDescent="0.25">
      <c r="A18" s="36" t="s">
        <v>609</v>
      </c>
    </row>
  </sheetData>
  <pageMargins left="0.7" right="0.7" top="0.75" bottom="0.75" header="0.3" footer="0.3"/>
  <pageSetup paperSize="9" scale="6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D40"/>
  <sheetViews>
    <sheetView workbookViewId="0">
      <selection activeCell="C1" sqref="C1"/>
    </sheetView>
  </sheetViews>
  <sheetFormatPr baseColWidth="10" defaultColWidth="11.44140625" defaultRowHeight="13.8" x14ac:dyDescent="0.25"/>
  <cols>
    <col min="1" max="1" width="30.109375" style="5" bestFit="1" customWidth="1"/>
    <col min="2" max="2" width="16.44140625" style="5" customWidth="1"/>
    <col min="3" max="3" width="11.44140625" style="5"/>
    <col min="4" max="4" width="17.5546875" style="5" customWidth="1"/>
    <col min="5" max="16384" width="11.44140625" style="5"/>
  </cols>
  <sheetData>
    <row r="6" spans="1:4" ht="41.4" x14ac:dyDescent="0.25">
      <c r="A6" s="38" t="s">
        <v>614</v>
      </c>
      <c r="B6" s="38" t="s">
        <v>615</v>
      </c>
      <c r="C6" s="38" t="s">
        <v>616</v>
      </c>
      <c r="D6" s="37" t="s">
        <v>617</v>
      </c>
    </row>
    <row r="7" spans="1:4" x14ac:dyDescent="0.25">
      <c r="A7" s="39" t="s">
        <v>618</v>
      </c>
      <c r="B7" s="15"/>
      <c r="C7" s="15"/>
      <c r="D7" s="15"/>
    </row>
    <row r="8" spans="1:4" x14ac:dyDescent="0.25">
      <c r="A8" s="15"/>
      <c r="B8" s="15"/>
      <c r="C8" s="15"/>
      <c r="D8" s="15"/>
    </row>
    <row r="9" spans="1:4" x14ac:dyDescent="0.25">
      <c r="A9" s="15"/>
      <c r="B9" s="15"/>
      <c r="C9" s="15"/>
      <c r="D9" s="15"/>
    </row>
    <row r="10" spans="1:4" x14ac:dyDescent="0.25">
      <c r="A10" s="15"/>
      <c r="B10" s="15"/>
      <c r="C10" s="15"/>
      <c r="D10" s="15"/>
    </row>
    <row r="11" spans="1:4" x14ac:dyDescent="0.25">
      <c r="A11" s="15"/>
      <c r="B11" s="15"/>
      <c r="C11" s="15"/>
      <c r="D11" s="15"/>
    </row>
    <row r="12" spans="1:4" x14ac:dyDescent="0.25">
      <c r="A12" s="15"/>
      <c r="B12" s="15"/>
      <c r="C12" s="15"/>
      <c r="D12" s="15"/>
    </row>
    <row r="13" spans="1:4" x14ac:dyDescent="0.25">
      <c r="A13" s="15"/>
      <c r="B13" s="15"/>
      <c r="C13" s="15"/>
      <c r="D13" s="15"/>
    </row>
    <row r="14" spans="1:4" x14ac:dyDescent="0.25">
      <c r="A14" s="15"/>
      <c r="B14" s="15"/>
      <c r="C14" s="15"/>
      <c r="D14" s="15"/>
    </row>
    <row r="15" spans="1:4" x14ac:dyDescent="0.25">
      <c r="A15" s="15"/>
      <c r="B15" s="15"/>
      <c r="C15" s="15"/>
      <c r="D15" s="15"/>
    </row>
    <row r="16" spans="1:4" x14ac:dyDescent="0.25">
      <c r="A16" s="15"/>
      <c r="B16" s="15"/>
      <c r="C16" s="15"/>
      <c r="D16" s="15"/>
    </row>
    <row r="17" spans="1:4" x14ac:dyDescent="0.25">
      <c r="A17" s="39" t="s">
        <v>16</v>
      </c>
      <c r="B17" s="15"/>
      <c r="C17" s="15"/>
      <c r="D17" s="40"/>
    </row>
    <row r="18" spans="1:4" x14ac:dyDescent="0.25">
      <c r="A18" s="15"/>
      <c r="B18" s="15"/>
      <c r="C18" s="15"/>
      <c r="D18" s="40"/>
    </row>
    <row r="19" spans="1:4" x14ac:dyDescent="0.25">
      <c r="A19" s="15"/>
      <c r="B19" s="15"/>
      <c r="C19" s="15"/>
      <c r="D19" s="40"/>
    </row>
    <row r="20" spans="1:4" x14ac:dyDescent="0.25">
      <c r="A20" s="15"/>
      <c r="B20" s="15"/>
      <c r="C20" s="15"/>
      <c r="D20" s="40"/>
    </row>
    <row r="21" spans="1:4" x14ac:dyDescent="0.25">
      <c r="A21" s="15"/>
      <c r="B21" s="15"/>
      <c r="C21" s="15"/>
      <c r="D21" s="40"/>
    </row>
    <row r="22" spans="1:4" x14ac:dyDescent="0.25">
      <c r="A22" s="15"/>
      <c r="B22" s="15"/>
      <c r="C22" s="15"/>
      <c r="D22" s="40"/>
    </row>
    <row r="23" spans="1:4" x14ac:dyDescent="0.25">
      <c r="A23" s="15"/>
      <c r="B23" s="15"/>
      <c r="C23" s="15"/>
      <c r="D23" s="40"/>
    </row>
    <row r="24" spans="1:4" x14ac:dyDescent="0.25">
      <c r="A24" s="15"/>
      <c r="B24" s="15"/>
      <c r="C24" s="15"/>
      <c r="D24" s="40"/>
    </row>
    <row r="25" spans="1:4" x14ac:dyDescent="0.25">
      <c r="A25" s="15"/>
      <c r="B25" s="15"/>
      <c r="C25" s="15"/>
      <c r="D25" s="40"/>
    </row>
    <row r="26" spans="1:4" x14ac:dyDescent="0.25">
      <c r="A26" s="15"/>
      <c r="B26" s="15"/>
      <c r="C26" s="15"/>
      <c r="D26" s="40"/>
    </row>
    <row r="27" spans="1:4" x14ac:dyDescent="0.25">
      <c r="A27" s="15"/>
      <c r="B27" s="15"/>
      <c r="C27" s="15"/>
      <c r="D27" s="40"/>
    </row>
    <row r="28" spans="1:4" x14ac:dyDescent="0.25">
      <c r="A28" s="39" t="s">
        <v>24</v>
      </c>
      <c r="B28" s="15"/>
      <c r="C28" s="15"/>
      <c r="D28" s="40"/>
    </row>
    <row r="29" spans="1:4" x14ac:dyDescent="0.25">
      <c r="A29" s="15"/>
      <c r="B29" s="15"/>
      <c r="C29" s="15"/>
      <c r="D29" s="40"/>
    </row>
    <row r="30" spans="1:4" x14ac:dyDescent="0.25">
      <c r="A30" s="15"/>
      <c r="B30" s="15"/>
      <c r="C30" s="15"/>
      <c r="D30" s="40"/>
    </row>
    <row r="31" spans="1:4" x14ac:dyDescent="0.25">
      <c r="A31" s="15"/>
      <c r="B31" s="15"/>
      <c r="C31" s="15"/>
      <c r="D31" s="40"/>
    </row>
    <row r="32" spans="1:4" x14ac:dyDescent="0.25">
      <c r="A32" s="15"/>
      <c r="B32" s="15"/>
      <c r="C32" s="15"/>
      <c r="D32" s="40"/>
    </row>
    <row r="33" spans="1:4" x14ac:dyDescent="0.25">
      <c r="A33" s="15"/>
      <c r="B33" s="15"/>
      <c r="C33" s="15"/>
      <c r="D33" s="40"/>
    </row>
    <row r="34" spans="1:4" x14ac:dyDescent="0.25">
      <c r="A34" s="15"/>
      <c r="B34" s="15"/>
      <c r="C34" s="15"/>
      <c r="D34" s="40"/>
    </row>
    <row r="35" spans="1:4" x14ac:dyDescent="0.25">
      <c r="A35" s="15"/>
      <c r="B35" s="15"/>
      <c r="C35" s="15"/>
      <c r="D35" s="40"/>
    </row>
    <row r="36" spans="1:4" x14ac:dyDescent="0.25">
      <c r="A36" s="15"/>
      <c r="B36" s="15"/>
      <c r="C36" s="15"/>
      <c r="D36" s="40"/>
    </row>
    <row r="37" spans="1:4" x14ac:dyDescent="0.25">
      <c r="A37" s="15"/>
      <c r="B37" s="15"/>
      <c r="C37" s="15"/>
      <c r="D37" s="40"/>
    </row>
    <row r="38" spans="1:4" x14ac:dyDescent="0.25">
      <c r="A38" s="15"/>
      <c r="B38" s="15"/>
      <c r="C38" s="15"/>
      <c r="D38" s="40"/>
    </row>
    <row r="39" spans="1:4" x14ac:dyDescent="0.25">
      <c r="A39" s="31" t="s">
        <v>373</v>
      </c>
      <c r="B39" s="19"/>
      <c r="C39" s="18"/>
      <c r="D39" s="18"/>
    </row>
    <row r="40" spans="1:4" x14ac:dyDescent="0.25">
      <c r="A40" s="32"/>
    </row>
  </sheetData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5"/>
  <sheetViews>
    <sheetView topLeftCell="A2" workbookViewId="0">
      <selection activeCell="E24" sqref="E24"/>
    </sheetView>
  </sheetViews>
  <sheetFormatPr baseColWidth="10" defaultColWidth="11.44140625" defaultRowHeight="13.8" x14ac:dyDescent="0.25"/>
  <cols>
    <col min="1" max="1" width="39" style="5" customWidth="1"/>
    <col min="2" max="2" width="12.109375" style="5" customWidth="1"/>
    <col min="3" max="3" width="12.5546875" style="5" customWidth="1"/>
    <col min="4" max="16384" width="11.44140625" style="5"/>
  </cols>
  <sheetData>
    <row r="6" spans="1:6" x14ac:dyDescent="0.25">
      <c r="A6" s="564" t="s">
        <v>337</v>
      </c>
      <c r="B6" s="564" t="s">
        <v>505</v>
      </c>
      <c r="C6" s="564" t="s">
        <v>506</v>
      </c>
      <c r="D6" s="564" t="s">
        <v>523</v>
      </c>
      <c r="E6" s="564"/>
    </row>
    <row r="7" spans="1:6" x14ac:dyDescent="0.25">
      <c r="A7" s="564"/>
      <c r="B7" s="564"/>
      <c r="C7" s="564"/>
      <c r="D7" s="41" t="s">
        <v>619</v>
      </c>
      <c r="E7" s="41" t="s">
        <v>525</v>
      </c>
    </row>
    <row r="8" spans="1:6" x14ac:dyDescent="0.25">
      <c r="A8" s="15" t="s">
        <v>620</v>
      </c>
      <c r="B8" s="15">
        <v>0</v>
      </c>
      <c r="C8" s="15">
        <v>0</v>
      </c>
      <c r="D8" s="15">
        <f>B8-C8</f>
        <v>0</v>
      </c>
      <c r="E8" s="15">
        <f>IF(C8=0,0,(B8-C8)/C8)*100</f>
        <v>0</v>
      </c>
    </row>
    <row r="9" spans="1:6" x14ac:dyDescent="0.25">
      <c r="A9" s="15" t="s">
        <v>621</v>
      </c>
      <c r="B9" s="15">
        <v>0</v>
      </c>
      <c r="C9" s="15">
        <v>0</v>
      </c>
      <c r="D9" s="15">
        <f t="shared" ref="D9:D10" si="0">B9-C9</f>
        <v>0</v>
      </c>
      <c r="E9" s="15">
        <f t="shared" ref="E9:E10" si="1">IF(C9=0,0,(B9-C9)/C9)*100</f>
        <v>0</v>
      </c>
    </row>
    <row r="10" spans="1:6" x14ac:dyDescent="0.25">
      <c r="A10" s="31" t="s">
        <v>622</v>
      </c>
      <c r="B10" s="47">
        <f>SUM(B8:B9)</f>
        <v>0</v>
      </c>
      <c r="C10" s="47">
        <f t="shared" ref="C10" si="2">SUM(C8:C9)</f>
        <v>0</v>
      </c>
      <c r="D10" s="47">
        <f t="shared" si="0"/>
        <v>0</v>
      </c>
      <c r="E10" s="47">
        <f t="shared" si="1"/>
        <v>0</v>
      </c>
    </row>
    <row r="11" spans="1:6" x14ac:dyDescent="0.25">
      <c r="A11" s="15" t="s">
        <v>623</v>
      </c>
      <c r="B11" s="15">
        <v>87805922</v>
      </c>
      <c r="C11" s="15">
        <v>55859517</v>
      </c>
      <c r="D11" s="15"/>
      <c r="E11" s="15"/>
    </row>
    <row r="13" spans="1:6" ht="14.4" x14ac:dyDescent="0.3">
      <c r="A13" s="35" t="s">
        <v>382</v>
      </c>
    </row>
    <row r="14" spans="1:6" ht="39.75" customHeight="1" x14ac:dyDescent="0.25">
      <c r="A14" s="578" t="s">
        <v>1229</v>
      </c>
      <c r="B14" s="578"/>
      <c r="C14" s="578"/>
      <c r="D14" s="578"/>
      <c r="E14" s="578"/>
      <c r="F14" s="578"/>
    </row>
    <row r="15" spans="1:6" ht="14.4" x14ac:dyDescent="0.3">
      <c r="A15" s="5" t="s">
        <v>1230</v>
      </c>
      <c r="B15"/>
      <c r="C15"/>
      <c r="D15"/>
      <c r="E15"/>
      <c r="F15"/>
    </row>
  </sheetData>
  <mergeCells count="5">
    <mergeCell ref="A6:A7"/>
    <mergeCell ref="B6:B7"/>
    <mergeCell ref="C6:C7"/>
    <mergeCell ref="D6:E6"/>
    <mergeCell ref="A14:F14"/>
  </mergeCells>
  <pageMargins left="0.7" right="0.7" top="0.75" bottom="0.75" header="0.3" footer="0.3"/>
  <pageSetup paperSize="9" scale="8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26"/>
  <sheetViews>
    <sheetView workbookViewId="0">
      <selection activeCell="E1" sqref="E1"/>
    </sheetView>
  </sheetViews>
  <sheetFormatPr baseColWidth="10" defaultColWidth="11.44140625" defaultRowHeight="13.8" x14ac:dyDescent="0.25"/>
  <cols>
    <col min="1" max="1" width="45.88671875" style="5" customWidth="1"/>
    <col min="2" max="2" width="10.44140625" style="5" customWidth="1"/>
    <col min="3" max="3" width="11.44140625" style="5"/>
    <col min="4" max="4" width="8.109375" style="5" customWidth="1"/>
    <col min="5" max="5" width="10.77734375" style="5" customWidth="1"/>
    <col min="6" max="6" width="8.44140625" style="5" customWidth="1"/>
    <col min="7" max="7" width="8.77734375" style="5" customWidth="1"/>
    <col min="8" max="16384" width="11.44140625" style="5"/>
  </cols>
  <sheetData>
    <row r="6" spans="1:8" ht="29.25" customHeight="1" x14ac:dyDescent="0.25">
      <c r="A6" s="564" t="s">
        <v>337</v>
      </c>
      <c r="B6" s="564" t="s">
        <v>2</v>
      </c>
      <c r="C6" s="564" t="s">
        <v>505</v>
      </c>
      <c r="D6" s="558" t="s">
        <v>506</v>
      </c>
      <c r="E6" s="490" t="s">
        <v>523</v>
      </c>
      <c r="F6" s="491"/>
      <c r="G6" s="558" t="s">
        <v>624</v>
      </c>
      <c r="H6" s="564" t="s">
        <v>625</v>
      </c>
    </row>
    <row r="7" spans="1:8" ht="35.25" customHeight="1" x14ac:dyDescent="0.25">
      <c r="A7" s="564"/>
      <c r="B7" s="564"/>
      <c r="C7" s="564"/>
      <c r="D7" s="558"/>
      <c r="E7" s="41" t="s">
        <v>619</v>
      </c>
      <c r="F7" s="41" t="s">
        <v>525</v>
      </c>
      <c r="G7" s="558"/>
      <c r="H7" s="564"/>
    </row>
    <row r="8" spans="1:8" x14ac:dyDescent="0.25">
      <c r="A8" s="15" t="s">
        <v>626</v>
      </c>
      <c r="B8" s="15"/>
      <c r="C8" s="15">
        <v>0</v>
      </c>
      <c r="D8" s="15">
        <v>0</v>
      </c>
      <c r="E8" s="15">
        <f>C8-D8</f>
        <v>0</v>
      </c>
      <c r="F8" s="15">
        <f>IF(D8=0,0,(C8-D8)/D8)*100</f>
        <v>0</v>
      </c>
      <c r="G8" s="15"/>
      <c r="H8" s="15"/>
    </row>
    <row r="9" spans="1:8" x14ac:dyDescent="0.25">
      <c r="A9" s="15" t="s">
        <v>627</v>
      </c>
      <c r="B9" s="15"/>
      <c r="C9" s="15">
        <v>0</v>
      </c>
      <c r="D9" s="15">
        <v>0</v>
      </c>
      <c r="E9" s="15">
        <f t="shared" ref="E9:E20" si="0">C9-D9</f>
        <v>0</v>
      </c>
      <c r="F9" s="15">
        <f t="shared" ref="F9:F20" si="1">IF(D9=0,0,(C9-D9)/D9)*100</f>
        <v>0</v>
      </c>
      <c r="G9" s="15"/>
      <c r="H9" s="15"/>
    </row>
    <row r="10" spans="1:8" x14ac:dyDescent="0.25">
      <c r="A10" s="15" t="s">
        <v>628</v>
      </c>
      <c r="B10" s="15"/>
      <c r="C10" s="15">
        <v>0</v>
      </c>
      <c r="D10" s="15">
        <v>0</v>
      </c>
      <c r="E10" s="15">
        <f t="shared" si="0"/>
        <v>0</v>
      </c>
      <c r="F10" s="15">
        <f t="shared" si="1"/>
        <v>0</v>
      </c>
      <c r="G10" s="15"/>
      <c r="H10" s="15"/>
    </row>
    <row r="11" spans="1:8" x14ac:dyDescent="0.25">
      <c r="A11" s="15" t="s">
        <v>629</v>
      </c>
      <c r="B11" s="15"/>
      <c r="C11" s="15">
        <v>0</v>
      </c>
      <c r="D11" s="15">
        <v>0</v>
      </c>
      <c r="E11" s="15">
        <f t="shared" si="0"/>
        <v>0</v>
      </c>
      <c r="F11" s="15">
        <f t="shared" si="1"/>
        <v>0</v>
      </c>
      <c r="G11" s="15"/>
      <c r="H11" s="15"/>
    </row>
    <row r="12" spans="1:8" x14ac:dyDescent="0.25">
      <c r="A12" s="15" t="s">
        <v>630</v>
      </c>
      <c r="B12" s="15"/>
      <c r="C12" s="15">
        <v>0</v>
      </c>
      <c r="D12" s="15">
        <v>0</v>
      </c>
      <c r="E12" s="15">
        <f t="shared" si="0"/>
        <v>0</v>
      </c>
      <c r="F12" s="15">
        <f t="shared" si="1"/>
        <v>0</v>
      </c>
      <c r="G12" s="15"/>
      <c r="H12" s="15"/>
    </row>
    <row r="13" spans="1:8" x14ac:dyDescent="0.25">
      <c r="A13" s="15" t="s">
        <v>631</v>
      </c>
      <c r="B13" s="15"/>
      <c r="C13" s="15">
        <v>0</v>
      </c>
      <c r="D13" s="43">
        <v>0</v>
      </c>
      <c r="E13" s="15">
        <f t="shared" si="0"/>
        <v>0</v>
      </c>
      <c r="F13" s="15">
        <f t="shared" si="1"/>
        <v>0</v>
      </c>
      <c r="G13" s="15"/>
      <c r="H13" s="15"/>
    </row>
    <row r="14" spans="1:8" x14ac:dyDescent="0.25">
      <c r="A14" s="15" t="s">
        <v>632</v>
      </c>
      <c r="B14" s="15"/>
      <c r="C14" s="15">
        <v>0</v>
      </c>
      <c r="D14" s="15">
        <v>0</v>
      </c>
      <c r="E14" s="15">
        <f t="shared" si="0"/>
        <v>0</v>
      </c>
      <c r="F14" s="15">
        <f t="shared" si="1"/>
        <v>0</v>
      </c>
      <c r="G14" s="15"/>
      <c r="H14" s="15"/>
    </row>
    <row r="15" spans="1:8" x14ac:dyDescent="0.25">
      <c r="A15" s="15" t="s">
        <v>633</v>
      </c>
      <c r="B15" s="15"/>
      <c r="C15" s="15">
        <v>0</v>
      </c>
      <c r="D15" s="15">
        <v>0</v>
      </c>
      <c r="E15" s="15">
        <f t="shared" si="0"/>
        <v>0</v>
      </c>
      <c r="F15" s="15">
        <f t="shared" si="1"/>
        <v>0</v>
      </c>
      <c r="G15" s="15"/>
      <c r="H15" s="15"/>
    </row>
    <row r="16" spans="1:8" x14ac:dyDescent="0.25">
      <c r="A16" s="17" t="s">
        <v>634</v>
      </c>
      <c r="B16" s="18"/>
      <c r="C16" s="18">
        <v>0</v>
      </c>
      <c r="D16" s="18">
        <v>0</v>
      </c>
      <c r="E16" s="18">
        <f t="shared" si="0"/>
        <v>0</v>
      </c>
      <c r="F16" s="18">
        <f t="shared" si="1"/>
        <v>0</v>
      </c>
      <c r="G16" s="19"/>
      <c r="H16" s="19"/>
    </row>
    <row r="17" spans="1:8" x14ac:dyDescent="0.25">
      <c r="A17" s="15"/>
      <c r="B17" s="15"/>
      <c r="C17" s="15"/>
      <c r="D17" s="15"/>
      <c r="E17" s="15"/>
      <c r="F17" s="15"/>
      <c r="G17" s="15"/>
      <c r="H17" s="15"/>
    </row>
    <row r="18" spans="1:8" x14ac:dyDescent="0.25">
      <c r="A18" s="17" t="s">
        <v>635</v>
      </c>
      <c r="B18" s="18"/>
      <c r="C18" s="18"/>
      <c r="D18" s="18"/>
      <c r="E18" s="18"/>
      <c r="F18" s="18"/>
      <c r="G18" s="19"/>
      <c r="H18" s="19"/>
    </row>
    <row r="19" spans="1:8" x14ac:dyDescent="0.25">
      <c r="A19" s="15"/>
      <c r="B19" s="15"/>
      <c r="C19" s="15"/>
      <c r="D19" s="15"/>
      <c r="E19" s="15"/>
      <c r="F19" s="15"/>
      <c r="G19" s="15"/>
      <c r="H19" s="15"/>
    </row>
    <row r="20" spans="1:8" ht="27.6" x14ac:dyDescent="0.25">
      <c r="A20" s="45" t="s">
        <v>636</v>
      </c>
      <c r="B20" s="46"/>
      <c r="C20" s="47">
        <f>C16+C18</f>
        <v>0</v>
      </c>
      <c r="D20" s="47">
        <f t="shared" ref="D20" si="2">D16+D18</f>
        <v>0</v>
      </c>
      <c r="E20" s="47">
        <f t="shared" si="0"/>
        <v>0</v>
      </c>
      <c r="F20" s="47">
        <f t="shared" si="1"/>
        <v>0</v>
      </c>
      <c r="G20" s="48"/>
      <c r="H20" s="48"/>
    </row>
    <row r="23" spans="1:8" x14ac:dyDescent="0.25">
      <c r="A23" s="49" t="s">
        <v>399</v>
      </c>
    </row>
    <row r="24" spans="1:8" x14ac:dyDescent="0.25">
      <c r="A24" s="535" t="s">
        <v>637</v>
      </c>
      <c r="B24" s="535"/>
      <c r="C24" s="535"/>
      <c r="D24" s="535"/>
    </row>
    <row r="25" spans="1:8" x14ac:dyDescent="0.25">
      <c r="A25" s="535" t="s">
        <v>638</v>
      </c>
      <c r="B25" s="535"/>
      <c r="C25" s="535"/>
      <c r="D25" s="535"/>
    </row>
    <row r="26" spans="1:8" x14ac:dyDescent="0.25">
      <c r="A26" s="535" t="s">
        <v>639</v>
      </c>
      <c r="B26" s="535"/>
      <c r="C26" s="535"/>
      <c r="D26" s="535"/>
    </row>
  </sheetData>
  <mergeCells count="10">
    <mergeCell ref="A26:D26"/>
    <mergeCell ref="A6:A7"/>
    <mergeCell ref="B6:B7"/>
    <mergeCell ref="C6:C7"/>
    <mergeCell ref="D6:D7"/>
    <mergeCell ref="G6:G7"/>
    <mergeCell ref="H6:H7"/>
    <mergeCell ref="E6:F6"/>
    <mergeCell ref="A24:D24"/>
    <mergeCell ref="A25:D25"/>
  </mergeCells>
  <pageMargins left="0.7" right="0.7" top="0.75" bottom="0.75" header="0.3" footer="0.3"/>
  <pageSetup paperSize="9" scale="6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27"/>
  <sheetViews>
    <sheetView workbookViewId="0">
      <selection activeCell="F1" sqref="F1"/>
    </sheetView>
  </sheetViews>
  <sheetFormatPr baseColWidth="10" defaultColWidth="11.44140625" defaultRowHeight="13.8" x14ac:dyDescent="0.25"/>
  <cols>
    <col min="1" max="1" width="43.77734375" style="5" customWidth="1"/>
    <col min="2" max="2" width="8.77734375" style="5" customWidth="1"/>
    <col min="3" max="3" width="11.44140625" style="5"/>
    <col min="4" max="4" width="8.88671875" style="5" customWidth="1"/>
    <col min="5" max="16384" width="11.44140625" style="5"/>
  </cols>
  <sheetData>
    <row r="6" spans="1:6" x14ac:dyDescent="0.25">
      <c r="A6" s="544" t="s">
        <v>337</v>
      </c>
      <c r="B6" s="544" t="s">
        <v>2</v>
      </c>
      <c r="C6" s="544" t="s">
        <v>505</v>
      </c>
      <c r="D6" s="536" t="s">
        <v>506</v>
      </c>
      <c r="E6" s="552" t="s">
        <v>523</v>
      </c>
      <c r="F6" s="553"/>
    </row>
    <row r="7" spans="1:6" x14ac:dyDescent="0.25">
      <c r="A7" s="545"/>
      <c r="B7" s="545"/>
      <c r="C7" s="545"/>
      <c r="D7" s="537"/>
      <c r="E7" s="38" t="s">
        <v>619</v>
      </c>
      <c r="F7" s="38" t="s">
        <v>525</v>
      </c>
    </row>
    <row r="8" spans="1:6" x14ac:dyDescent="0.25">
      <c r="A8" s="15" t="s">
        <v>640</v>
      </c>
      <c r="B8" s="15"/>
      <c r="C8" s="15">
        <v>0</v>
      </c>
      <c r="D8" s="15">
        <v>0</v>
      </c>
      <c r="E8" s="15">
        <f>C8-D8</f>
        <v>0</v>
      </c>
      <c r="F8" s="15">
        <f>IF(D8=0,0,(C8-D8)/D8)*100</f>
        <v>0</v>
      </c>
    </row>
    <row r="9" spans="1:6" ht="27.6" x14ac:dyDescent="0.25">
      <c r="A9" s="16" t="s">
        <v>641</v>
      </c>
      <c r="B9" s="15"/>
      <c r="C9" s="15">
        <v>0</v>
      </c>
      <c r="D9" s="15">
        <v>0</v>
      </c>
      <c r="E9" s="15">
        <f t="shared" ref="E9:E17" si="0">C9-D9</f>
        <v>0</v>
      </c>
      <c r="F9" s="15">
        <f t="shared" ref="F9:F17" si="1">IF(D9=0,0,(C9-D9)/D9)*100</f>
        <v>0</v>
      </c>
    </row>
    <row r="10" spans="1:6" x14ac:dyDescent="0.25">
      <c r="A10" s="15" t="s">
        <v>642</v>
      </c>
      <c r="B10" s="15"/>
      <c r="C10" s="15">
        <v>0</v>
      </c>
      <c r="D10" s="15">
        <v>0</v>
      </c>
      <c r="E10" s="15">
        <f t="shared" si="0"/>
        <v>0</v>
      </c>
      <c r="F10" s="15">
        <f t="shared" si="1"/>
        <v>0</v>
      </c>
    </row>
    <row r="11" spans="1:6" x14ac:dyDescent="0.25">
      <c r="A11" s="15" t="s">
        <v>643</v>
      </c>
      <c r="B11" s="15"/>
      <c r="C11" s="15">
        <v>0</v>
      </c>
      <c r="D11" s="15">
        <v>0</v>
      </c>
      <c r="E11" s="15">
        <f t="shared" si="0"/>
        <v>0</v>
      </c>
      <c r="F11" s="15">
        <f t="shared" si="1"/>
        <v>0</v>
      </c>
    </row>
    <row r="12" spans="1:6" x14ac:dyDescent="0.25">
      <c r="A12" s="50" t="s">
        <v>644</v>
      </c>
      <c r="B12" s="18"/>
      <c r="C12" s="18">
        <f>SUM(C8:C11)</f>
        <v>0</v>
      </c>
      <c r="D12" s="18">
        <f t="shared" ref="D12" si="2">SUM(D8:D11)</f>
        <v>0</v>
      </c>
      <c r="E12" s="18">
        <f t="shared" si="0"/>
        <v>0</v>
      </c>
      <c r="F12" s="18">
        <f t="shared" si="1"/>
        <v>0</v>
      </c>
    </row>
    <row r="13" spans="1:6" ht="27.6" x14ac:dyDescent="0.25">
      <c r="A13" s="16" t="s">
        <v>645</v>
      </c>
      <c r="B13" s="15"/>
      <c r="C13" s="15">
        <v>0</v>
      </c>
      <c r="D13" s="15">
        <v>0</v>
      </c>
      <c r="E13" s="15">
        <f t="shared" si="0"/>
        <v>0</v>
      </c>
      <c r="F13" s="15">
        <f t="shared" si="1"/>
        <v>0</v>
      </c>
    </row>
    <row r="14" spans="1:6" x14ac:dyDescent="0.25">
      <c r="A14" s="15" t="s">
        <v>646</v>
      </c>
      <c r="B14" s="15"/>
      <c r="C14" s="15">
        <v>0</v>
      </c>
      <c r="D14" s="15">
        <v>0</v>
      </c>
      <c r="E14" s="15">
        <f t="shared" si="0"/>
        <v>0</v>
      </c>
      <c r="F14" s="15">
        <f t="shared" si="1"/>
        <v>0</v>
      </c>
    </row>
    <row r="15" spans="1:6" x14ac:dyDescent="0.25">
      <c r="A15" s="15" t="s">
        <v>647</v>
      </c>
      <c r="B15" s="15"/>
      <c r="C15" s="15">
        <v>0</v>
      </c>
      <c r="D15" s="15">
        <v>0</v>
      </c>
      <c r="E15" s="15">
        <f t="shared" si="0"/>
        <v>0</v>
      </c>
      <c r="F15" s="15">
        <f t="shared" si="1"/>
        <v>0</v>
      </c>
    </row>
    <row r="16" spans="1:6" x14ac:dyDescent="0.25">
      <c r="A16" s="50" t="s">
        <v>648</v>
      </c>
      <c r="B16" s="18"/>
      <c r="C16" s="18">
        <f>SUM(C13:C15)</f>
        <v>0</v>
      </c>
      <c r="D16" s="18">
        <f t="shared" ref="D16" si="3">SUM(D13:D15)</f>
        <v>0</v>
      </c>
      <c r="E16" s="18">
        <f t="shared" si="0"/>
        <v>0</v>
      </c>
      <c r="F16" s="18">
        <f t="shared" si="1"/>
        <v>0</v>
      </c>
    </row>
    <row r="17" spans="1:6" x14ac:dyDescent="0.25">
      <c r="A17" s="51" t="s">
        <v>66</v>
      </c>
      <c r="B17" s="47"/>
      <c r="C17" s="47">
        <f>C12+C16</f>
        <v>0</v>
      </c>
      <c r="D17" s="47">
        <f t="shared" ref="D17" si="4">D12+D16</f>
        <v>0</v>
      </c>
      <c r="E17" s="47">
        <f t="shared" si="0"/>
        <v>0</v>
      </c>
      <c r="F17" s="47">
        <f t="shared" si="1"/>
        <v>0</v>
      </c>
    </row>
    <row r="19" spans="1:6" ht="14.4" x14ac:dyDescent="0.3">
      <c r="A19" s="52" t="s">
        <v>382</v>
      </c>
      <c r="B19" s="36"/>
      <c r="C19" s="36"/>
      <c r="D19" s="36"/>
      <c r="E19" s="36"/>
      <c r="F19" s="36"/>
    </row>
    <row r="20" spans="1:6" x14ac:dyDescent="0.25">
      <c r="A20" s="528" t="s">
        <v>649</v>
      </c>
      <c r="B20" s="528"/>
      <c r="C20" s="528"/>
      <c r="D20" s="528"/>
      <c r="E20" s="528"/>
      <c r="F20" s="528"/>
    </row>
    <row r="21" spans="1:6" x14ac:dyDescent="0.25">
      <c r="A21" s="528" t="s">
        <v>650</v>
      </c>
      <c r="B21" s="528"/>
      <c r="C21" s="528"/>
      <c r="D21" s="528"/>
      <c r="E21" s="528"/>
      <c r="F21" s="528"/>
    </row>
    <row r="22" spans="1:6" x14ac:dyDescent="0.25">
      <c r="A22" s="528" t="s">
        <v>655</v>
      </c>
      <c r="B22" s="528"/>
      <c r="C22" s="528"/>
      <c r="D22" s="528"/>
      <c r="E22" s="528"/>
      <c r="F22" s="528"/>
    </row>
    <row r="23" spans="1:6" x14ac:dyDescent="0.25">
      <c r="A23" s="528" t="s">
        <v>656</v>
      </c>
      <c r="B23" s="528"/>
      <c r="C23" s="528"/>
      <c r="D23" s="528"/>
      <c r="E23" s="528"/>
      <c r="F23" s="528"/>
    </row>
    <row r="24" spans="1:6" x14ac:dyDescent="0.25">
      <c r="A24" s="36" t="s">
        <v>651</v>
      </c>
      <c r="B24" s="36"/>
      <c r="C24" s="36"/>
      <c r="D24" s="36"/>
      <c r="E24" s="36"/>
      <c r="F24" s="36"/>
    </row>
    <row r="25" spans="1:6" x14ac:dyDescent="0.25">
      <c r="A25" s="36" t="s">
        <v>652</v>
      </c>
      <c r="B25" s="36"/>
      <c r="C25" s="36"/>
      <c r="D25" s="36"/>
      <c r="E25" s="36"/>
      <c r="F25" s="36"/>
    </row>
    <row r="26" spans="1:6" x14ac:dyDescent="0.25">
      <c r="A26" s="36" t="s">
        <v>653</v>
      </c>
      <c r="B26" s="36"/>
      <c r="C26" s="36"/>
      <c r="D26" s="36"/>
      <c r="E26" s="36"/>
      <c r="F26" s="36"/>
    </row>
    <row r="27" spans="1:6" x14ac:dyDescent="0.25">
      <c r="A27" s="36" t="s">
        <v>654</v>
      </c>
      <c r="B27" s="36"/>
      <c r="C27" s="36"/>
      <c r="D27" s="36"/>
      <c r="E27" s="36"/>
      <c r="F27" s="36"/>
    </row>
  </sheetData>
  <mergeCells count="9">
    <mergeCell ref="A21:F21"/>
    <mergeCell ref="A22:F22"/>
    <mergeCell ref="A23:F23"/>
    <mergeCell ref="A6:A7"/>
    <mergeCell ref="B6:B7"/>
    <mergeCell ref="C6:C7"/>
    <mergeCell ref="D6:D7"/>
    <mergeCell ref="E6:F6"/>
    <mergeCell ref="A20:F20"/>
  </mergeCells>
  <pageMargins left="0.7" right="0.7" top="0.75" bottom="0.75" header="0.3" footer="0.3"/>
  <pageSetup paperSize="9" scale="73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39"/>
  <sheetViews>
    <sheetView workbookViewId="0"/>
  </sheetViews>
  <sheetFormatPr baseColWidth="10" defaultColWidth="11.44140625" defaultRowHeight="13.8" x14ac:dyDescent="0.25"/>
  <cols>
    <col min="1" max="1" width="50.44140625" style="5" customWidth="1"/>
    <col min="2" max="2" width="8" style="5" customWidth="1"/>
    <col min="3" max="3" width="7.21875" style="5" customWidth="1"/>
    <col min="4" max="4" width="9.77734375" style="5" customWidth="1"/>
    <col min="5" max="5" width="8.44140625" style="5" customWidth="1"/>
    <col min="6" max="6" width="7.21875" style="5" customWidth="1"/>
    <col min="7" max="7" width="8.77734375" style="5" customWidth="1"/>
    <col min="8" max="8" width="8" style="5" customWidth="1"/>
    <col min="9" max="16384" width="11.44140625" style="5"/>
  </cols>
  <sheetData>
    <row r="6" spans="1:8" ht="44.25" customHeight="1" x14ac:dyDescent="0.25">
      <c r="A6" s="577" t="s">
        <v>657</v>
      </c>
      <c r="B6" s="580" t="s">
        <v>505</v>
      </c>
      <c r="C6" s="580" t="s">
        <v>506</v>
      </c>
      <c r="D6" s="577" t="s">
        <v>523</v>
      </c>
      <c r="E6" s="577"/>
      <c r="F6" s="536" t="s">
        <v>658</v>
      </c>
      <c r="G6" s="536" t="s">
        <v>559</v>
      </c>
      <c r="H6" s="536" t="s">
        <v>678</v>
      </c>
    </row>
    <row r="7" spans="1:8" ht="48.75" customHeight="1" x14ac:dyDescent="0.25">
      <c r="A7" s="577"/>
      <c r="B7" s="580"/>
      <c r="C7" s="580"/>
      <c r="D7" s="38" t="s">
        <v>619</v>
      </c>
      <c r="E7" s="38" t="s">
        <v>525</v>
      </c>
      <c r="F7" s="537"/>
      <c r="G7" s="537"/>
      <c r="H7" s="537"/>
    </row>
    <row r="8" spans="1:8" x14ac:dyDescent="0.25">
      <c r="A8" s="15" t="s">
        <v>659</v>
      </c>
      <c r="B8" s="15">
        <v>0</v>
      </c>
      <c r="C8" s="15">
        <v>0</v>
      </c>
      <c r="D8" s="15">
        <f>B8-C8</f>
        <v>0</v>
      </c>
      <c r="E8" s="15">
        <f>IF(C8=0,0,(B8-C8)/C8)*100</f>
        <v>0</v>
      </c>
      <c r="F8" s="15"/>
      <c r="G8" s="15"/>
      <c r="H8" s="15"/>
    </row>
    <row r="9" spans="1:8" x14ac:dyDescent="0.25">
      <c r="A9" s="15" t="s">
        <v>660</v>
      </c>
      <c r="B9" s="15">
        <v>0</v>
      </c>
      <c r="C9" s="15">
        <v>0</v>
      </c>
      <c r="D9" s="15">
        <f t="shared" ref="D9:D20" si="0">B9-C9</f>
        <v>0</v>
      </c>
      <c r="E9" s="15">
        <f t="shared" ref="E9:E20" si="1">IF(C9=0,0,(B9-C9)/C9)*100</f>
        <v>0</v>
      </c>
      <c r="F9" s="15"/>
      <c r="G9" s="15"/>
      <c r="H9" s="15"/>
    </row>
    <row r="10" spans="1:8" x14ac:dyDescent="0.25">
      <c r="A10" s="15" t="s">
        <v>661</v>
      </c>
      <c r="B10" s="15">
        <v>0</v>
      </c>
      <c r="C10" s="15">
        <v>0</v>
      </c>
      <c r="D10" s="15">
        <f t="shared" si="0"/>
        <v>0</v>
      </c>
      <c r="E10" s="15">
        <f t="shared" si="1"/>
        <v>0</v>
      </c>
      <c r="F10" s="15"/>
      <c r="G10" s="15"/>
      <c r="H10" s="15"/>
    </row>
    <row r="11" spans="1:8" x14ac:dyDescent="0.25">
      <c r="A11" s="15" t="s">
        <v>662</v>
      </c>
      <c r="B11" s="15">
        <v>0</v>
      </c>
      <c r="C11" s="15">
        <v>0</v>
      </c>
      <c r="D11" s="15">
        <f t="shared" si="0"/>
        <v>0</v>
      </c>
      <c r="E11" s="15">
        <f t="shared" si="1"/>
        <v>0</v>
      </c>
      <c r="F11" s="15"/>
      <c r="G11" s="15"/>
      <c r="H11" s="15"/>
    </row>
    <row r="12" spans="1:8" x14ac:dyDescent="0.25">
      <c r="A12" s="15" t="s">
        <v>663</v>
      </c>
      <c r="B12" s="15">
        <v>0</v>
      </c>
      <c r="C12" s="15">
        <v>0</v>
      </c>
      <c r="D12" s="15">
        <f t="shared" si="0"/>
        <v>0</v>
      </c>
      <c r="E12" s="15">
        <f t="shared" si="1"/>
        <v>0</v>
      </c>
      <c r="F12" s="15"/>
      <c r="G12" s="15"/>
      <c r="H12" s="15"/>
    </row>
    <row r="13" spans="1:8" x14ac:dyDescent="0.25">
      <c r="A13" s="15" t="s">
        <v>664</v>
      </c>
      <c r="B13" s="15">
        <v>0</v>
      </c>
      <c r="C13" s="15">
        <v>0</v>
      </c>
      <c r="D13" s="15">
        <f t="shared" si="0"/>
        <v>0</v>
      </c>
      <c r="E13" s="15">
        <f t="shared" si="1"/>
        <v>0</v>
      </c>
      <c r="F13" s="15"/>
      <c r="G13" s="15"/>
      <c r="H13" s="15"/>
    </row>
    <row r="14" spans="1:8" x14ac:dyDescent="0.25">
      <c r="A14" s="50" t="s">
        <v>665</v>
      </c>
      <c r="B14" s="18">
        <f>SUM(B8:B13)</f>
        <v>0</v>
      </c>
      <c r="C14" s="18">
        <f>SUM(C8:C13)</f>
        <v>0</v>
      </c>
      <c r="D14" s="18">
        <f t="shared" si="0"/>
        <v>0</v>
      </c>
      <c r="E14" s="18">
        <f t="shared" si="1"/>
        <v>0</v>
      </c>
      <c r="F14" s="18">
        <f>SUM(F8:F13)</f>
        <v>0</v>
      </c>
      <c r="G14" s="18">
        <f t="shared" ref="G14:H14" si="2">SUM(G8:G13)</f>
        <v>0</v>
      </c>
      <c r="H14" s="18">
        <f t="shared" si="2"/>
        <v>0</v>
      </c>
    </row>
    <row r="15" spans="1:8" x14ac:dyDescent="0.25">
      <c r="A15" s="15" t="s">
        <v>680</v>
      </c>
      <c r="B15" s="15">
        <v>0</v>
      </c>
      <c r="C15" s="15">
        <v>0</v>
      </c>
      <c r="D15" s="15"/>
      <c r="E15" s="15"/>
      <c r="F15" s="15"/>
      <c r="G15" s="15"/>
      <c r="H15" s="15"/>
    </row>
    <row r="16" spans="1:8" x14ac:dyDescent="0.25">
      <c r="A16" s="15" t="s">
        <v>679</v>
      </c>
      <c r="B16" s="15">
        <v>0</v>
      </c>
      <c r="C16" s="15">
        <v>0</v>
      </c>
      <c r="D16" s="15"/>
      <c r="E16" s="15"/>
      <c r="F16" s="15"/>
      <c r="G16" s="15"/>
      <c r="H16" s="15"/>
    </row>
    <row r="17" spans="1:8" x14ac:dyDescent="0.25">
      <c r="A17" s="15" t="s">
        <v>666</v>
      </c>
      <c r="B17" s="15">
        <v>0</v>
      </c>
      <c r="C17" s="15">
        <v>0</v>
      </c>
      <c r="D17" s="15"/>
      <c r="E17" s="15"/>
      <c r="F17" s="15"/>
      <c r="G17" s="15"/>
      <c r="H17" s="15"/>
    </row>
    <row r="18" spans="1:8" x14ac:dyDescent="0.25">
      <c r="A18" s="15" t="s">
        <v>663</v>
      </c>
      <c r="B18" s="15"/>
      <c r="C18" s="15"/>
      <c r="D18" s="15"/>
      <c r="E18" s="15"/>
      <c r="F18" s="15"/>
      <c r="G18" s="15"/>
      <c r="H18" s="15"/>
    </row>
    <row r="19" spans="1:8" x14ac:dyDescent="0.25">
      <c r="A19" s="15" t="s">
        <v>667</v>
      </c>
      <c r="B19" s="15">
        <v>0</v>
      </c>
      <c r="C19" s="15">
        <v>0</v>
      </c>
      <c r="D19" s="15"/>
      <c r="E19" s="15"/>
      <c r="F19" s="15"/>
      <c r="G19" s="15"/>
      <c r="H19" s="15"/>
    </row>
    <row r="20" spans="1:8" x14ac:dyDescent="0.25">
      <c r="A20" s="50" t="s">
        <v>668</v>
      </c>
      <c r="B20" s="18">
        <f>SUM(B15:B19)</f>
        <v>0</v>
      </c>
      <c r="C20" s="18">
        <f t="shared" ref="C20:H20" si="3">SUM(C15:C19)</f>
        <v>0</v>
      </c>
      <c r="D20" s="18">
        <f t="shared" si="0"/>
        <v>0</v>
      </c>
      <c r="E20" s="18">
        <f t="shared" si="1"/>
        <v>0</v>
      </c>
      <c r="F20" s="18">
        <f t="shared" si="3"/>
        <v>0</v>
      </c>
      <c r="G20" s="18">
        <f t="shared" si="3"/>
        <v>0</v>
      </c>
      <c r="H20" s="18">
        <f t="shared" si="3"/>
        <v>0</v>
      </c>
    </row>
    <row r="21" spans="1:8" x14ac:dyDescent="0.25">
      <c r="A21" s="15" t="s">
        <v>669</v>
      </c>
      <c r="B21" s="15">
        <v>0</v>
      </c>
      <c r="C21" s="15">
        <v>0</v>
      </c>
      <c r="D21" s="15"/>
      <c r="E21" s="15"/>
      <c r="F21" s="19"/>
      <c r="G21" s="19"/>
      <c r="H21" s="19"/>
    </row>
    <row r="22" spans="1:8" x14ac:dyDescent="0.25">
      <c r="A22" s="15" t="s">
        <v>670</v>
      </c>
      <c r="B22" s="15">
        <v>0</v>
      </c>
      <c r="C22" s="15">
        <v>0</v>
      </c>
      <c r="D22" s="15"/>
      <c r="E22" s="15"/>
      <c r="F22" s="19"/>
      <c r="G22" s="19"/>
      <c r="H22" s="19"/>
    </row>
    <row r="23" spans="1:8" x14ac:dyDescent="0.25">
      <c r="A23" s="15" t="s">
        <v>671</v>
      </c>
      <c r="B23" s="15">
        <v>0</v>
      </c>
      <c r="C23" s="15">
        <v>0</v>
      </c>
      <c r="D23" s="15"/>
      <c r="E23" s="15"/>
      <c r="F23" s="19"/>
      <c r="G23" s="19"/>
      <c r="H23" s="19"/>
    </row>
    <row r="24" spans="1:8" x14ac:dyDescent="0.25">
      <c r="A24" s="15" t="s">
        <v>672</v>
      </c>
      <c r="B24" s="15">
        <v>0</v>
      </c>
      <c r="C24" s="15">
        <v>0</v>
      </c>
      <c r="D24" s="15"/>
      <c r="E24" s="15"/>
      <c r="F24" s="19"/>
      <c r="G24" s="19"/>
      <c r="H24" s="19"/>
    </row>
    <row r="25" spans="1:8" x14ac:dyDescent="0.25">
      <c r="A25" s="15" t="s">
        <v>673</v>
      </c>
      <c r="B25" s="15"/>
      <c r="C25" s="15"/>
      <c r="D25" s="15"/>
      <c r="E25" s="15"/>
      <c r="F25" s="15"/>
      <c r="G25" s="15"/>
      <c r="H25" s="15"/>
    </row>
    <row r="26" spans="1:8" x14ac:dyDescent="0.25">
      <c r="A26" s="15" t="s">
        <v>674</v>
      </c>
      <c r="B26" s="15">
        <v>0</v>
      </c>
      <c r="C26" s="15">
        <v>0</v>
      </c>
      <c r="D26" s="15"/>
      <c r="E26" s="15"/>
      <c r="F26" s="53"/>
      <c r="G26" s="19"/>
      <c r="H26" s="19"/>
    </row>
    <row r="27" spans="1:8" ht="27.6" x14ac:dyDescent="0.25">
      <c r="A27" s="54" t="s">
        <v>675</v>
      </c>
      <c r="B27" s="47">
        <f>SUM(B21:B26)</f>
        <v>0</v>
      </c>
      <c r="C27" s="47">
        <f t="shared" ref="C27:E27" si="4">SUM(C21:C26)</f>
        <v>0</v>
      </c>
      <c r="D27" s="47">
        <f t="shared" si="4"/>
        <v>0</v>
      </c>
      <c r="E27" s="47">
        <f t="shared" si="4"/>
        <v>0</v>
      </c>
      <c r="F27" s="19"/>
      <c r="G27" s="19"/>
      <c r="H27" s="19"/>
    </row>
    <row r="28" spans="1:8" s="55" customFormat="1" x14ac:dyDescent="0.25">
      <c r="A28" s="57"/>
      <c r="B28" s="56"/>
      <c r="C28" s="56"/>
      <c r="D28" s="56"/>
      <c r="E28" s="56"/>
      <c r="F28" s="56"/>
      <c r="G28" s="56"/>
      <c r="H28" s="56"/>
    </row>
    <row r="29" spans="1:8" x14ac:dyDescent="0.25">
      <c r="A29" s="36" t="s">
        <v>676</v>
      </c>
      <c r="B29" s="36"/>
      <c r="C29" s="36"/>
      <c r="D29" s="36"/>
      <c r="E29" s="36"/>
      <c r="F29" s="36"/>
      <c r="G29" s="36"/>
    </row>
    <row r="30" spans="1:8" ht="14.4" x14ac:dyDescent="0.3">
      <c r="A30" s="23" t="s">
        <v>677</v>
      </c>
      <c r="B30" s="36"/>
      <c r="C30" s="36"/>
      <c r="D30" s="36"/>
      <c r="E30" s="36"/>
      <c r="F30" s="36"/>
      <c r="G30" s="36"/>
    </row>
    <row r="31" spans="1:8" x14ac:dyDescent="0.25">
      <c r="A31" s="579" t="s">
        <v>681</v>
      </c>
      <c r="B31" s="579"/>
      <c r="C31" s="579"/>
      <c r="D31" s="579"/>
      <c r="E31" s="579"/>
      <c r="F31" s="579"/>
      <c r="G31" s="579"/>
      <c r="H31" s="528"/>
    </row>
    <row r="32" spans="1:8" x14ac:dyDescent="0.25">
      <c r="A32" s="579" t="s">
        <v>682</v>
      </c>
      <c r="B32" s="579"/>
      <c r="C32" s="579"/>
      <c r="D32" s="579"/>
      <c r="E32" s="579"/>
      <c r="F32" s="579"/>
      <c r="G32" s="579"/>
      <c r="H32" s="528"/>
    </row>
    <row r="33" spans="1:8" x14ac:dyDescent="0.25">
      <c r="A33" s="579" t="s">
        <v>683</v>
      </c>
      <c r="B33" s="579"/>
      <c r="C33" s="579"/>
      <c r="D33" s="579"/>
      <c r="E33" s="579"/>
      <c r="F33" s="579"/>
      <c r="G33" s="579"/>
      <c r="H33" s="528"/>
    </row>
    <row r="34" spans="1:8" x14ac:dyDescent="0.25">
      <c r="A34" s="528" t="s">
        <v>684</v>
      </c>
      <c r="B34" s="528"/>
      <c r="C34" s="528"/>
      <c r="D34" s="528"/>
      <c r="E34" s="528"/>
      <c r="F34" s="528"/>
      <c r="G34" s="528"/>
      <c r="H34" s="528"/>
    </row>
    <row r="35" spans="1:8" x14ac:dyDescent="0.25">
      <c r="A35" s="528" t="s">
        <v>685</v>
      </c>
      <c r="B35" s="528"/>
      <c r="C35" s="528"/>
      <c r="D35" s="528"/>
      <c r="E35" s="528"/>
      <c r="F35" s="528"/>
      <c r="G35" s="528"/>
      <c r="H35" s="528"/>
    </row>
    <row r="36" spans="1:8" x14ac:dyDescent="0.25">
      <c r="A36" s="579" t="s">
        <v>686</v>
      </c>
      <c r="B36" s="579"/>
      <c r="C36" s="579"/>
      <c r="D36" s="579"/>
      <c r="E36" s="579"/>
      <c r="F36" s="579"/>
      <c r="G36" s="579"/>
      <c r="H36" s="528"/>
    </row>
    <row r="37" spans="1:8" x14ac:dyDescent="0.25">
      <c r="A37" s="579" t="s">
        <v>687</v>
      </c>
      <c r="B37" s="579"/>
      <c r="C37" s="579"/>
      <c r="D37" s="579"/>
      <c r="E37" s="579"/>
      <c r="F37" s="579"/>
      <c r="G37" s="579"/>
      <c r="H37" s="528"/>
    </row>
    <row r="38" spans="1:8" x14ac:dyDescent="0.25">
      <c r="A38" s="528" t="s">
        <v>688</v>
      </c>
      <c r="B38" s="528"/>
      <c r="C38" s="528"/>
      <c r="D38" s="528"/>
      <c r="E38" s="528"/>
      <c r="F38" s="528"/>
      <c r="G38" s="528"/>
      <c r="H38" s="528"/>
    </row>
    <row r="39" spans="1:8" x14ac:dyDescent="0.25">
      <c r="A39" s="36"/>
      <c r="B39" s="36"/>
      <c r="C39" s="36"/>
      <c r="D39" s="36"/>
      <c r="E39" s="36"/>
      <c r="F39" s="36"/>
      <c r="G39" s="36"/>
    </row>
  </sheetData>
  <mergeCells count="15">
    <mergeCell ref="A34:H34"/>
    <mergeCell ref="A35:H35"/>
    <mergeCell ref="A36:H36"/>
    <mergeCell ref="A37:H37"/>
    <mergeCell ref="A38:H38"/>
    <mergeCell ref="H6:H7"/>
    <mergeCell ref="G6:G7"/>
    <mergeCell ref="A31:H31"/>
    <mergeCell ref="A32:H32"/>
    <mergeCell ref="A33:H33"/>
    <mergeCell ref="A6:A7"/>
    <mergeCell ref="B6:B7"/>
    <mergeCell ref="C6:C7"/>
    <mergeCell ref="D6:E6"/>
    <mergeCell ref="F6:F7"/>
  </mergeCells>
  <pageMargins left="0.7" right="0.7" top="0.75" bottom="0.75" header="0.3" footer="0.3"/>
  <pageSetup paperSize="9" scale="72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E20"/>
  <sheetViews>
    <sheetView workbookViewId="0">
      <selection activeCell="B13" sqref="B13"/>
    </sheetView>
  </sheetViews>
  <sheetFormatPr baseColWidth="10" defaultColWidth="11.44140625" defaultRowHeight="13.8" x14ac:dyDescent="0.25"/>
  <cols>
    <col min="1" max="1" width="42.5546875" style="5" customWidth="1"/>
    <col min="2" max="2" width="22.77734375" style="5" customWidth="1"/>
    <col min="3" max="3" width="24.21875" style="5" customWidth="1"/>
    <col min="4" max="16384" width="11.44140625" style="5"/>
  </cols>
  <sheetData>
    <row r="7" spans="1:3" x14ac:dyDescent="0.25">
      <c r="A7" s="33" t="s">
        <v>337</v>
      </c>
      <c r="B7" s="33" t="s">
        <v>505</v>
      </c>
      <c r="C7" s="33" t="s">
        <v>506</v>
      </c>
    </row>
    <row r="8" spans="1:3" x14ac:dyDescent="0.25">
      <c r="A8" s="50" t="s">
        <v>689</v>
      </c>
      <c r="B8" s="50"/>
      <c r="C8" s="50"/>
    </row>
    <row r="9" spans="1:3" x14ac:dyDescent="0.25">
      <c r="A9" s="43" t="s">
        <v>690</v>
      </c>
      <c r="B9" s="43"/>
      <c r="C9" s="43"/>
    </row>
    <row r="10" spans="1:3" x14ac:dyDescent="0.25">
      <c r="A10" s="43" t="s">
        <v>691</v>
      </c>
      <c r="B10" s="43"/>
      <c r="C10" s="43"/>
    </row>
    <row r="11" spans="1:3" x14ac:dyDescent="0.25">
      <c r="A11" s="43" t="s">
        <v>691</v>
      </c>
      <c r="B11" s="43"/>
      <c r="C11" s="43"/>
    </row>
    <row r="12" spans="1:3" x14ac:dyDescent="0.25">
      <c r="A12" s="50" t="s">
        <v>692</v>
      </c>
      <c r="B12" s="50"/>
      <c r="C12" s="50"/>
    </row>
    <row r="13" spans="1:3" x14ac:dyDescent="0.25">
      <c r="A13" s="43" t="s">
        <v>690</v>
      </c>
      <c r="B13" s="43"/>
      <c r="C13" s="43"/>
    </row>
    <row r="14" spans="1:3" x14ac:dyDescent="0.25">
      <c r="A14" s="43" t="s">
        <v>691</v>
      </c>
      <c r="B14" s="43"/>
      <c r="C14" s="43"/>
    </row>
    <row r="15" spans="1:3" x14ac:dyDescent="0.25">
      <c r="A15" s="43" t="s">
        <v>691</v>
      </c>
      <c r="B15" s="43"/>
      <c r="C15" s="43"/>
    </row>
    <row r="17" spans="1:5" ht="14.4" x14ac:dyDescent="0.3">
      <c r="A17" s="23" t="s">
        <v>382</v>
      </c>
      <c r="B17" s="36"/>
      <c r="C17" s="36"/>
      <c r="D17" s="36"/>
      <c r="E17" s="36"/>
    </row>
    <row r="18" spans="1:5" x14ac:dyDescent="0.25">
      <c r="A18" s="36"/>
      <c r="B18" s="36"/>
      <c r="C18" s="36"/>
      <c r="D18" s="36"/>
      <c r="E18" s="36"/>
    </row>
    <row r="19" spans="1:5" x14ac:dyDescent="0.25">
      <c r="A19" s="528" t="s">
        <v>693</v>
      </c>
      <c r="B19" s="528"/>
      <c r="C19" s="528"/>
      <c r="D19" s="36"/>
      <c r="E19" s="36"/>
    </row>
    <row r="20" spans="1:5" x14ac:dyDescent="0.25">
      <c r="A20" s="528" t="s">
        <v>694</v>
      </c>
      <c r="B20" s="528"/>
      <c r="C20" s="528"/>
      <c r="D20" s="36"/>
      <c r="E20" s="36"/>
    </row>
  </sheetData>
  <mergeCells count="2">
    <mergeCell ref="A19:C19"/>
    <mergeCell ref="A20:C20"/>
  </mergeCells>
  <pageMargins left="0.7" right="0.7" top="0.75" bottom="0.75" header="0.3" footer="0.3"/>
  <pageSetup paperSize="9" scale="7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22"/>
  <sheetViews>
    <sheetView workbookViewId="0">
      <selection activeCell="J19" sqref="J19"/>
    </sheetView>
  </sheetViews>
  <sheetFormatPr baseColWidth="10" defaultColWidth="11.44140625" defaultRowHeight="13.8" x14ac:dyDescent="0.25"/>
  <cols>
    <col min="1" max="1" width="42.77734375" style="5" customWidth="1"/>
    <col min="2" max="2" width="8.88671875" style="5" customWidth="1"/>
    <col min="3" max="3" width="12.44140625" style="5" customWidth="1"/>
    <col min="4" max="5" width="11.44140625" style="5"/>
    <col min="6" max="6" width="8.5546875" style="5" customWidth="1"/>
    <col min="7" max="7" width="8.44140625" style="5" customWidth="1"/>
    <col min="8" max="8" width="9.109375" style="5" customWidth="1"/>
    <col min="9" max="16384" width="11.44140625" style="5"/>
  </cols>
  <sheetData>
    <row r="5" spans="1:8" ht="14.25" customHeight="1" x14ac:dyDescent="0.25"/>
    <row r="6" spans="1:8" ht="38.25" customHeight="1" x14ac:dyDescent="0.25">
      <c r="A6" s="577" t="s">
        <v>657</v>
      </c>
      <c r="B6" s="580" t="s">
        <v>505</v>
      </c>
      <c r="C6" s="580" t="s">
        <v>506</v>
      </c>
      <c r="D6" s="577" t="s">
        <v>523</v>
      </c>
      <c r="E6" s="577"/>
      <c r="F6" s="536" t="s">
        <v>658</v>
      </c>
      <c r="G6" s="536" t="s">
        <v>559</v>
      </c>
      <c r="H6" s="580" t="s">
        <v>560</v>
      </c>
    </row>
    <row r="7" spans="1:8" ht="60.75" customHeight="1" x14ac:dyDescent="0.25">
      <c r="A7" s="577"/>
      <c r="B7" s="580"/>
      <c r="C7" s="580"/>
      <c r="D7" s="38" t="s">
        <v>619</v>
      </c>
      <c r="E7" s="38" t="s">
        <v>525</v>
      </c>
      <c r="F7" s="537"/>
      <c r="G7" s="537"/>
      <c r="H7" s="580"/>
    </row>
    <row r="8" spans="1:8" x14ac:dyDescent="0.25">
      <c r="A8" s="15" t="s">
        <v>695</v>
      </c>
      <c r="B8" s="15">
        <v>162000</v>
      </c>
      <c r="C8" s="15">
        <v>1040791</v>
      </c>
      <c r="D8" s="15">
        <f>B8-C8</f>
        <v>-878791</v>
      </c>
      <c r="E8" s="15">
        <f>IF(C8=0,0,(B8-C8)/C8)*100</f>
        <v>-84.43491536725432</v>
      </c>
      <c r="F8" s="15"/>
      <c r="G8" s="15"/>
      <c r="H8" s="15"/>
    </row>
    <row r="9" spans="1:8" x14ac:dyDescent="0.25">
      <c r="A9" s="15" t="s">
        <v>696</v>
      </c>
      <c r="B9" s="15">
        <v>0</v>
      </c>
      <c r="C9" s="15">
        <v>0</v>
      </c>
      <c r="D9" s="15">
        <f t="shared" ref="D9:D17" si="0">B9-C9</f>
        <v>0</v>
      </c>
      <c r="E9" s="15">
        <f t="shared" ref="E9:E17" si="1">IF(C9=0,0,(B9-C9)/C9)*100</f>
        <v>0</v>
      </c>
      <c r="F9" s="15"/>
      <c r="G9" s="15"/>
      <c r="H9" s="15"/>
    </row>
    <row r="10" spans="1:8" x14ac:dyDescent="0.25">
      <c r="A10" s="15" t="s">
        <v>697</v>
      </c>
      <c r="B10" s="15">
        <v>0</v>
      </c>
      <c r="C10" s="15">
        <v>0</v>
      </c>
      <c r="D10" s="15">
        <f t="shared" si="0"/>
        <v>0</v>
      </c>
      <c r="E10" s="15">
        <f t="shared" si="1"/>
        <v>0</v>
      </c>
      <c r="F10" s="15"/>
      <c r="G10" s="15"/>
      <c r="H10" s="15"/>
    </row>
    <row r="11" spans="1:8" x14ac:dyDescent="0.25">
      <c r="A11" s="15" t="s">
        <v>698</v>
      </c>
      <c r="B11" s="15">
        <v>0</v>
      </c>
      <c r="C11" s="15">
        <v>0</v>
      </c>
      <c r="D11" s="15">
        <f t="shared" si="0"/>
        <v>0</v>
      </c>
      <c r="E11" s="15">
        <f t="shared" si="1"/>
        <v>0</v>
      </c>
      <c r="F11" s="15"/>
      <c r="G11" s="15"/>
      <c r="H11" s="15"/>
    </row>
    <row r="12" spans="1:8" x14ac:dyDescent="0.25">
      <c r="A12" s="15" t="s">
        <v>699</v>
      </c>
      <c r="B12" s="15">
        <v>500000</v>
      </c>
      <c r="C12" s="15">
        <v>500000</v>
      </c>
      <c r="D12" s="15">
        <f t="shared" si="0"/>
        <v>0</v>
      </c>
      <c r="E12" s="15">
        <f t="shared" si="1"/>
        <v>0</v>
      </c>
      <c r="F12" s="15"/>
      <c r="G12" s="15"/>
      <c r="H12" s="15"/>
    </row>
    <row r="13" spans="1:8" x14ac:dyDescent="0.25">
      <c r="A13" s="17" t="s">
        <v>700</v>
      </c>
      <c r="B13" s="18">
        <f>SUM(B8:B12)</f>
        <v>662000</v>
      </c>
      <c r="C13" s="18">
        <f t="shared" ref="C13:H13" si="2">SUM(C8:C12)</f>
        <v>1540791</v>
      </c>
      <c r="D13" s="18">
        <f t="shared" si="0"/>
        <v>-878791</v>
      </c>
      <c r="E13" s="18">
        <f t="shared" si="1"/>
        <v>-57.035055370910136</v>
      </c>
      <c r="F13" s="18">
        <f t="shared" si="2"/>
        <v>0</v>
      </c>
      <c r="G13" s="18">
        <f t="shared" si="2"/>
        <v>0</v>
      </c>
      <c r="H13" s="18">
        <f t="shared" si="2"/>
        <v>0</v>
      </c>
    </row>
    <row r="14" spans="1:8" x14ac:dyDescent="0.25">
      <c r="A14" s="15" t="s">
        <v>701</v>
      </c>
      <c r="B14" s="15">
        <v>2875750</v>
      </c>
      <c r="C14" s="15">
        <v>963536</v>
      </c>
      <c r="D14" s="15"/>
      <c r="E14" s="15"/>
      <c r="F14" s="15"/>
      <c r="G14" s="15"/>
      <c r="H14" s="15"/>
    </row>
    <row r="15" spans="1:8" x14ac:dyDescent="0.25">
      <c r="A15" s="15" t="s">
        <v>702</v>
      </c>
      <c r="B15" s="15">
        <v>0</v>
      </c>
      <c r="C15" s="15">
        <v>0</v>
      </c>
      <c r="D15" s="15"/>
      <c r="E15" s="15"/>
      <c r="F15" s="15"/>
      <c r="G15" s="15"/>
      <c r="H15" s="15"/>
    </row>
    <row r="16" spans="1:8" x14ac:dyDescent="0.25">
      <c r="A16" s="15" t="s">
        <v>703</v>
      </c>
      <c r="B16" s="15"/>
      <c r="C16" s="15"/>
      <c r="D16" s="15"/>
      <c r="E16" s="15"/>
      <c r="F16" s="15"/>
      <c r="G16" s="15"/>
      <c r="H16" s="15"/>
    </row>
    <row r="17" spans="1:8" x14ac:dyDescent="0.25">
      <c r="A17" s="31" t="s">
        <v>704</v>
      </c>
      <c r="B17" s="47">
        <f>SUM(B14:B16)</f>
        <v>2875750</v>
      </c>
      <c r="C17" s="47">
        <f>SUM(C14:C16)</f>
        <v>963536</v>
      </c>
      <c r="D17" s="47">
        <f t="shared" si="0"/>
        <v>1912214</v>
      </c>
      <c r="E17" s="47">
        <f t="shared" si="1"/>
        <v>198.45797147174574</v>
      </c>
      <c r="F17" s="47">
        <f t="shared" ref="C17:H17" si="3">SUM(F13:F16)</f>
        <v>0</v>
      </c>
      <c r="G17" s="47">
        <f t="shared" si="3"/>
        <v>0</v>
      </c>
      <c r="H17" s="47">
        <f t="shared" si="3"/>
        <v>0</v>
      </c>
    </row>
    <row r="19" spans="1:8" ht="14.4" x14ac:dyDescent="0.3">
      <c r="A19" s="23" t="s">
        <v>382</v>
      </c>
    </row>
    <row r="20" spans="1:8" ht="14.4" x14ac:dyDescent="0.3">
      <c r="A20" s="24" t="s">
        <v>1231</v>
      </c>
      <c r="B20"/>
      <c r="C20"/>
      <c r="D20"/>
      <c r="E20"/>
    </row>
    <row r="21" spans="1:8" ht="14.4" x14ac:dyDescent="0.3">
      <c r="A21" s="36" t="s">
        <v>1232</v>
      </c>
      <c r="B21"/>
      <c r="C21"/>
      <c r="D21"/>
      <c r="E21"/>
    </row>
    <row r="22" spans="1:8" x14ac:dyDescent="0.25">
      <c r="A22" s="5" t="s">
        <v>1249</v>
      </c>
    </row>
  </sheetData>
  <mergeCells count="7">
    <mergeCell ref="H6:H7"/>
    <mergeCell ref="F6:F7"/>
    <mergeCell ref="G6:G7"/>
    <mergeCell ref="A6:A7"/>
    <mergeCell ref="B6:B7"/>
    <mergeCell ref="C6:C7"/>
    <mergeCell ref="D6:E6"/>
  </mergeCells>
  <pageMargins left="0.7" right="0.7" top="0.75" bottom="0.75" header="0.3" footer="0.3"/>
  <pageSetup paperSize="9" scale="73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29"/>
  <sheetViews>
    <sheetView topLeftCell="A7" workbookViewId="0">
      <selection activeCell="F1" sqref="F1"/>
    </sheetView>
  </sheetViews>
  <sheetFormatPr baseColWidth="10" defaultColWidth="11.44140625" defaultRowHeight="13.8" x14ac:dyDescent="0.25"/>
  <cols>
    <col min="1" max="1" width="43.5546875" style="5" customWidth="1"/>
    <col min="2" max="2" width="9.88671875" style="5" customWidth="1"/>
    <col min="3" max="3" width="8" style="5" customWidth="1"/>
    <col min="4" max="5" width="11.44140625" style="5"/>
    <col min="6" max="6" width="7.77734375" style="5" customWidth="1"/>
    <col min="7" max="7" width="7.109375" style="5" customWidth="1"/>
    <col min="8" max="8" width="8" style="5" customWidth="1"/>
    <col min="9" max="16384" width="11.44140625" style="5"/>
  </cols>
  <sheetData>
    <row r="6" spans="1:8" ht="57.75" customHeight="1" x14ac:dyDescent="0.25">
      <c r="A6" s="544" t="s">
        <v>337</v>
      </c>
      <c r="B6" s="544" t="s">
        <v>505</v>
      </c>
      <c r="C6" s="536" t="s">
        <v>506</v>
      </c>
      <c r="D6" s="552" t="s">
        <v>523</v>
      </c>
      <c r="E6" s="553"/>
      <c r="F6" s="536" t="s">
        <v>558</v>
      </c>
      <c r="G6" s="536" t="s">
        <v>559</v>
      </c>
      <c r="H6" s="536" t="s">
        <v>560</v>
      </c>
    </row>
    <row r="7" spans="1:8" ht="71.25" customHeight="1" x14ac:dyDescent="0.25">
      <c r="A7" s="545"/>
      <c r="B7" s="545"/>
      <c r="C7" s="537"/>
      <c r="D7" s="38" t="s">
        <v>619</v>
      </c>
      <c r="E7" s="38" t="s">
        <v>525</v>
      </c>
      <c r="F7" s="537"/>
      <c r="G7" s="537"/>
      <c r="H7" s="537"/>
    </row>
    <row r="8" spans="1:8" x14ac:dyDescent="0.25">
      <c r="A8" s="15" t="s">
        <v>705</v>
      </c>
      <c r="B8" s="15">
        <v>0</v>
      </c>
      <c r="C8" s="15">
        <v>0</v>
      </c>
      <c r="D8" s="15">
        <f>B8-C8</f>
        <v>0</v>
      </c>
      <c r="E8" s="15">
        <f>IF(C8=0,0,(B8-C8)/C8)*100</f>
        <v>0</v>
      </c>
      <c r="F8" s="15"/>
      <c r="G8" s="15"/>
      <c r="H8" s="15"/>
    </row>
    <row r="9" spans="1:8" x14ac:dyDescent="0.25">
      <c r="A9" s="15" t="s">
        <v>706</v>
      </c>
      <c r="B9" s="15">
        <v>0</v>
      </c>
      <c r="C9" s="15">
        <v>0</v>
      </c>
      <c r="D9" s="15">
        <f t="shared" ref="D9:D23" si="0">B9-C9</f>
        <v>0</v>
      </c>
      <c r="E9" s="15">
        <f t="shared" ref="E9:E23" si="1">IF(C9=0,0,(B9-C9)/C9)*100</f>
        <v>0</v>
      </c>
      <c r="F9" s="15"/>
      <c r="G9" s="15"/>
      <c r="H9" s="15"/>
    </row>
    <row r="10" spans="1:8" x14ac:dyDescent="0.25">
      <c r="A10" s="15" t="s">
        <v>707</v>
      </c>
      <c r="B10" s="15">
        <v>0</v>
      </c>
      <c r="C10" s="15">
        <v>0</v>
      </c>
      <c r="D10" s="15">
        <f t="shared" si="0"/>
        <v>0</v>
      </c>
      <c r="E10" s="15">
        <f t="shared" si="1"/>
        <v>0</v>
      </c>
      <c r="F10" s="15"/>
      <c r="G10" s="15"/>
      <c r="H10" s="15"/>
    </row>
    <row r="11" spans="1:8" x14ac:dyDescent="0.25">
      <c r="A11" s="15" t="s">
        <v>708</v>
      </c>
      <c r="B11" s="15"/>
      <c r="C11" s="15"/>
      <c r="D11" s="15">
        <f t="shared" si="0"/>
        <v>0</v>
      </c>
      <c r="E11" s="15">
        <f t="shared" si="1"/>
        <v>0</v>
      </c>
      <c r="F11" s="15"/>
      <c r="G11" s="15"/>
      <c r="H11" s="15"/>
    </row>
    <row r="12" spans="1:8" x14ac:dyDescent="0.25">
      <c r="A12" s="15" t="s">
        <v>709</v>
      </c>
      <c r="B12" s="15">
        <v>0</v>
      </c>
      <c r="C12" s="15">
        <v>0</v>
      </c>
      <c r="D12" s="15">
        <f t="shared" si="0"/>
        <v>0</v>
      </c>
      <c r="E12" s="15">
        <f t="shared" si="1"/>
        <v>0</v>
      </c>
      <c r="F12" s="15"/>
      <c r="G12" s="15"/>
      <c r="H12" s="15"/>
    </row>
    <row r="13" spans="1:8" x14ac:dyDescent="0.25">
      <c r="A13" s="15" t="s">
        <v>710</v>
      </c>
      <c r="B13" s="15">
        <v>0</v>
      </c>
      <c r="C13" s="15">
        <v>0</v>
      </c>
      <c r="D13" s="15">
        <f t="shared" si="0"/>
        <v>0</v>
      </c>
      <c r="E13" s="15">
        <f t="shared" si="1"/>
        <v>0</v>
      </c>
      <c r="F13" s="15"/>
      <c r="G13" s="15"/>
      <c r="H13" s="15"/>
    </row>
    <row r="14" spans="1:8" x14ac:dyDescent="0.25">
      <c r="A14" s="15" t="s">
        <v>711</v>
      </c>
      <c r="B14" s="15">
        <v>0</v>
      </c>
      <c r="C14" s="15">
        <v>0</v>
      </c>
      <c r="D14" s="15">
        <f t="shared" si="0"/>
        <v>0</v>
      </c>
      <c r="E14" s="15">
        <f t="shared" si="1"/>
        <v>0</v>
      </c>
      <c r="F14" s="15"/>
      <c r="G14" s="15"/>
      <c r="H14" s="15"/>
    </row>
    <row r="15" spans="1:8" x14ac:dyDescent="0.25">
      <c r="A15" s="15" t="s">
        <v>712</v>
      </c>
      <c r="B15" s="15">
        <v>0</v>
      </c>
      <c r="C15" s="15">
        <v>0</v>
      </c>
      <c r="D15" s="15">
        <f t="shared" si="0"/>
        <v>0</v>
      </c>
      <c r="E15" s="15">
        <f t="shared" si="1"/>
        <v>0</v>
      </c>
      <c r="F15" s="15"/>
      <c r="G15" s="15"/>
      <c r="H15" s="15"/>
    </row>
    <row r="16" spans="1:8" x14ac:dyDescent="0.25">
      <c r="A16" s="15" t="s">
        <v>713</v>
      </c>
      <c r="B16" s="15">
        <v>0</v>
      </c>
      <c r="C16" s="15">
        <v>0</v>
      </c>
      <c r="D16" s="15">
        <f t="shared" si="0"/>
        <v>0</v>
      </c>
      <c r="E16" s="15">
        <f t="shared" si="1"/>
        <v>0</v>
      </c>
      <c r="F16" s="15"/>
      <c r="G16" s="15"/>
      <c r="H16" s="15"/>
    </row>
    <row r="17" spans="1:8" x14ac:dyDescent="0.25">
      <c r="A17" s="15" t="s">
        <v>714</v>
      </c>
      <c r="B17" s="15">
        <v>0</v>
      </c>
      <c r="C17" s="15">
        <v>0</v>
      </c>
      <c r="D17" s="15">
        <f t="shared" si="0"/>
        <v>0</v>
      </c>
      <c r="E17" s="15">
        <f t="shared" si="1"/>
        <v>0</v>
      </c>
      <c r="F17" s="15"/>
      <c r="G17" s="15"/>
      <c r="H17" s="15"/>
    </row>
    <row r="18" spans="1:8" x14ac:dyDescent="0.25">
      <c r="A18" s="50" t="s">
        <v>715</v>
      </c>
      <c r="B18" s="50">
        <f>SUM(B8:B17)</f>
        <v>0</v>
      </c>
      <c r="C18" s="50">
        <f t="shared" ref="C18:H18" si="2">SUM(C8:C17)</f>
        <v>0</v>
      </c>
      <c r="D18" s="50">
        <f t="shared" si="0"/>
        <v>0</v>
      </c>
      <c r="E18" s="50">
        <f t="shared" si="1"/>
        <v>0</v>
      </c>
      <c r="F18" s="50">
        <f t="shared" si="2"/>
        <v>0</v>
      </c>
      <c r="G18" s="50">
        <f t="shared" si="2"/>
        <v>0</v>
      </c>
      <c r="H18" s="50">
        <f t="shared" si="2"/>
        <v>0</v>
      </c>
    </row>
    <row r="19" spans="1:8" x14ac:dyDescent="0.25">
      <c r="A19" s="15" t="s">
        <v>716</v>
      </c>
      <c r="B19" s="15">
        <v>0</v>
      </c>
      <c r="C19" s="15">
        <v>0</v>
      </c>
      <c r="D19" s="15"/>
      <c r="E19" s="15"/>
      <c r="F19" s="15"/>
      <c r="G19" s="15"/>
      <c r="H19" s="15"/>
    </row>
    <row r="20" spans="1:8" x14ac:dyDescent="0.25">
      <c r="A20" s="15" t="s">
        <v>717</v>
      </c>
      <c r="B20" s="15">
        <v>0</v>
      </c>
      <c r="C20" s="15">
        <v>0</v>
      </c>
      <c r="D20" s="15"/>
      <c r="E20" s="15"/>
      <c r="F20" s="15"/>
      <c r="G20" s="15"/>
      <c r="H20" s="15"/>
    </row>
    <row r="21" spans="1:8" x14ac:dyDescent="0.25">
      <c r="A21" s="15" t="s">
        <v>718</v>
      </c>
      <c r="B21" s="15">
        <v>13500</v>
      </c>
      <c r="C21" s="15">
        <v>0</v>
      </c>
      <c r="D21" s="15"/>
      <c r="E21" s="15"/>
      <c r="F21" s="15"/>
      <c r="G21" s="15"/>
      <c r="H21" s="15"/>
    </row>
    <row r="22" spans="1:8" x14ac:dyDescent="0.25">
      <c r="A22" s="15" t="s">
        <v>719</v>
      </c>
      <c r="B22" s="15"/>
      <c r="C22" s="15"/>
      <c r="D22" s="15"/>
      <c r="E22" s="15"/>
      <c r="F22" s="15"/>
      <c r="G22" s="15"/>
      <c r="H22" s="15"/>
    </row>
    <row r="23" spans="1:8" x14ac:dyDescent="0.25">
      <c r="A23" s="50" t="s">
        <v>720</v>
      </c>
      <c r="B23" s="50">
        <f>SUM(B19:B22)</f>
        <v>13500</v>
      </c>
      <c r="C23" s="50">
        <f t="shared" ref="C23:H23" si="3">SUM(C19:C22)</f>
        <v>0</v>
      </c>
      <c r="D23" s="50">
        <f t="shared" si="0"/>
        <v>13500</v>
      </c>
      <c r="E23" s="50">
        <f t="shared" si="1"/>
        <v>0</v>
      </c>
      <c r="F23" s="50">
        <f t="shared" si="3"/>
        <v>0</v>
      </c>
      <c r="G23" s="50">
        <f t="shared" si="3"/>
        <v>0</v>
      </c>
      <c r="H23" s="50">
        <f t="shared" si="3"/>
        <v>0</v>
      </c>
    </row>
    <row r="24" spans="1:8" x14ac:dyDescent="0.25">
      <c r="A24" s="15"/>
      <c r="B24" s="15"/>
      <c r="C24" s="15"/>
      <c r="D24" s="15"/>
      <c r="E24" s="15"/>
      <c r="F24" s="15"/>
      <c r="G24" s="15"/>
      <c r="H24" s="15"/>
    </row>
    <row r="25" spans="1:8" x14ac:dyDescent="0.25">
      <c r="A25" s="30" t="s">
        <v>721</v>
      </c>
      <c r="B25" s="44">
        <f>B18+B23</f>
        <v>13500</v>
      </c>
      <c r="C25" s="44">
        <f t="shared" ref="C25:H25" si="4">C18+C23</f>
        <v>0</v>
      </c>
      <c r="D25" s="44">
        <f t="shared" si="4"/>
        <v>13500</v>
      </c>
      <c r="E25" s="44">
        <f t="shared" si="4"/>
        <v>0</v>
      </c>
      <c r="F25" s="44">
        <f t="shared" si="4"/>
        <v>0</v>
      </c>
      <c r="G25" s="44">
        <f t="shared" si="4"/>
        <v>0</v>
      </c>
      <c r="H25" s="44">
        <f t="shared" si="4"/>
        <v>0</v>
      </c>
    </row>
    <row r="27" spans="1:8" ht="14.4" x14ac:dyDescent="0.3">
      <c r="A27" s="23" t="s">
        <v>382</v>
      </c>
      <c r="B27" s="36"/>
    </row>
    <row r="28" spans="1:8" x14ac:dyDescent="0.25">
      <c r="A28" s="528" t="s">
        <v>722</v>
      </c>
      <c r="B28" s="528"/>
    </row>
    <row r="29" spans="1:8" x14ac:dyDescent="0.25">
      <c r="A29" s="528" t="s">
        <v>723</v>
      </c>
      <c r="B29" s="528"/>
    </row>
  </sheetData>
  <mergeCells count="9">
    <mergeCell ref="H6:H7"/>
    <mergeCell ref="A28:B28"/>
    <mergeCell ref="A29:B29"/>
    <mergeCell ref="A6:A7"/>
    <mergeCell ref="B6:B7"/>
    <mergeCell ref="C6:C7"/>
    <mergeCell ref="D6:E6"/>
    <mergeCell ref="F6:F7"/>
    <mergeCell ref="G6:G7"/>
  </mergeCells>
  <pageMargins left="0.7" right="0.7" top="0.75" bottom="0.75" header="0.3" footer="0.3"/>
  <pageSetup paperSize="9" scale="73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28"/>
  <sheetViews>
    <sheetView topLeftCell="A6" workbookViewId="0">
      <selection activeCell="E1" sqref="E1"/>
    </sheetView>
  </sheetViews>
  <sheetFormatPr baseColWidth="10" defaultColWidth="11.44140625" defaultRowHeight="13.8" x14ac:dyDescent="0.25"/>
  <cols>
    <col min="1" max="1" width="42.44140625" style="5" customWidth="1"/>
    <col min="2" max="2" width="7.77734375" style="5" customWidth="1"/>
    <col min="3" max="3" width="8.109375" style="5" customWidth="1"/>
    <col min="4" max="5" width="11.44140625" style="5"/>
    <col min="6" max="6" width="7.5546875" style="5" customWidth="1"/>
    <col min="7" max="7" width="7.21875" style="5" customWidth="1"/>
    <col min="8" max="8" width="7.5546875" style="5" customWidth="1"/>
    <col min="9" max="16384" width="11.44140625" style="5"/>
  </cols>
  <sheetData>
    <row r="6" spans="1:10" ht="42" customHeight="1" x14ac:dyDescent="0.25">
      <c r="A6" s="581" t="s">
        <v>337</v>
      </c>
      <c r="B6" s="581" t="s">
        <v>505</v>
      </c>
      <c r="C6" s="581" t="s">
        <v>506</v>
      </c>
      <c r="D6" s="581" t="s">
        <v>523</v>
      </c>
      <c r="E6" s="581"/>
      <c r="F6" s="580" t="s">
        <v>558</v>
      </c>
      <c r="G6" s="580" t="s">
        <v>559</v>
      </c>
      <c r="H6" s="580" t="s">
        <v>560</v>
      </c>
    </row>
    <row r="7" spans="1:10" ht="63.75" customHeight="1" x14ac:dyDescent="0.25">
      <c r="A7" s="581"/>
      <c r="B7" s="581"/>
      <c r="C7" s="581"/>
      <c r="D7" s="14" t="s">
        <v>524</v>
      </c>
      <c r="E7" s="14" t="s">
        <v>525</v>
      </c>
      <c r="F7" s="580"/>
      <c r="G7" s="580"/>
      <c r="H7" s="580"/>
    </row>
    <row r="8" spans="1:10" x14ac:dyDescent="0.25">
      <c r="A8" s="16" t="s">
        <v>724</v>
      </c>
      <c r="B8" s="15">
        <v>0</v>
      </c>
      <c r="C8" s="15">
        <v>0</v>
      </c>
      <c r="D8" s="15">
        <f>B8-C8</f>
        <v>0</v>
      </c>
      <c r="E8" s="15">
        <f>IF(C8=0,0,(B8-C8)/C8)*100</f>
        <v>0</v>
      </c>
      <c r="F8" s="15"/>
      <c r="G8" s="15"/>
      <c r="H8" s="15"/>
    </row>
    <row r="9" spans="1:10" x14ac:dyDescent="0.25">
      <c r="A9" s="16" t="s">
        <v>725</v>
      </c>
      <c r="B9" s="15">
        <v>0</v>
      </c>
      <c r="C9" s="15">
        <v>0</v>
      </c>
      <c r="D9" s="15">
        <f t="shared" ref="D9:D12" si="0">B9-C9</f>
        <v>0</v>
      </c>
      <c r="E9" s="15">
        <f t="shared" ref="E9:E12" si="1">IF(C9=0,0,(B9-C9)/C9)*100</f>
        <v>0</v>
      </c>
      <c r="F9" s="15"/>
      <c r="G9" s="15"/>
      <c r="H9" s="15"/>
    </row>
    <row r="10" spans="1:10" x14ac:dyDescent="0.25">
      <c r="A10" s="16" t="s">
        <v>626</v>
      </c>
      <c r="B10" s="15">
        <v>0</v>
      </c>
      <c r="C10" s="15">
        <v>0</v>
      </c>
      <c r="D10" s="15">
        <f t="shared" si="0"/>
        <v>0</v>
      </c>
      <c r="E10" s="15">
        <f t="shared" si="1"/>
        <v>0</v>
      </c>
      <c r="F10" s="15"/>
      <c r="G10" s="15"/>
      <c r="H10" s="15"/>
      <c r="J10" s="5" t="s">
        <v>405</v>
      </c>
    </row>
    <row r="11" spans="1:10" x14ac:dyDescent="0.25">
      <c r="A11" s="16" t="s">
        <v>726</v>
      </c>
      <c r="B11" s="15">
        <v>0</v>
      </c>
      <c r="C11" s="15">
        <v>0</v>
      </c>
      <c r="D11" s="15">
        <f t="shared" si="0"/>
        <v>0</v>
      </c>
      <c r="E11" s="15">
        <f t="shared" si="1"/>
        <v>0</v>
      </c>
      <c r="F11" s="15"/>
      <c r="G11" s="15"/>
      <c r="H11" s="15"/>
    </row>
    <row r="12" spans="1:10" ht="27.6" x14ac:dyDescent="0.25">
      <c r="A12" s="60" t="s">
        <v>1176</v>
      </c>
      <c r="B12" s="50">
        <f>SUM(B8:B11)</f>
        <v>0</v>
      </c>
      <c r="C12" s="50">
        <f t="shared" ref="C12:H12" si="2">SUM(C8:C11)</f>
        <v>0</v>
      </c>
      <c r="D12" s="50">
        <f t="shared" si="0"/>
        <v>0</v>
      </c>
      <c r="E12" s="50">
        <f t="shared" si="1"/>
        <v>0</v>
      </c>
      <c r="F12" s="50">
        <f t="shared" si="2"/>
        <v>0</v>
      </c>
      <c r="G12" s="50">
        <f t="shared" si="2"/>
        <v>0</v>
      </c>
      <c r="H12" s="50">
        <f t="shared" si="2"/>
        <v>0</v>
      </c>
    </row>
    <row r="13" spans="1:10" x14ac:dyDescent="0.25">
      <c r="A13" s="16" t="s">
        <v>727</v>
      </c>
      <c r="B13" s="15">
        <v>19440</v>
      </c>
      <c r="C13" s="15">
        <v>0</v>
      </c>
      <c r="D13" s="15">
        <f>B13-C13</f>
        <v>19440</v>
      </c>
      <c r="E13" s="15">
        <f>IF(C13=0,0,(B13-C13)/C13)*100</f>
        <v>0</v>
      </c>
      <c r="F13" s="15"/>
      <c r="G13" s="15"/>
      <c r="H13" s="15"/>
    </row>
    <row r="14" spans="1:10" ht="27.6" x14ac:dyDescent="0.25">
      <c r="A14" s="16" t="s">
        <v>728</v>
      </c>
      <c r="B14" s="15">
        <v>0</v>
      </c>
      <c r="C14" s="15">
        <v>0</v>
      </c>
      <c r="D14" s="15">
        <f t="shared" ref="D14:D18" si="3">B14-C14</f>
        <v>0</v>
      </c>
      <c r="E14" s="15">
        <f t="shared" ref="E14:E18" si="4">IF(C14=0,0,(B14-C14)/C14)*100</f>
        <v>0</v>
      </c>
      <c r="F14" s="15"/>
      <c r="G14" s="15"/>
      <c r="H14" s="15"/>
    </row>
    <row r="15" spans="1:10" ht="27.6" x14ac:dyDescent="0.25">
      <c r="A15" s="16" t="s">
        <v>729</v>
      </c>
      <c r="B15" s="15">
        <v>0</v>
      </c>
      <c r="C15" s="15">
        <v>0</v>
      </c>
      <c r="D15" s="15">
        <f t="shared" si="3"/>
        <v>0</v>
      </c>
      <c r="E15" s="15">
        <f t="shared" si="4"/>
        <v>0</v>
      </c>
      <c r="F15" s="15"/>
      <c r="G15" s="15"/>
      <c r="H15" s="15"/>
    </row>
    <row r="16" spans="1:10" x14ac:dyDescent="0.25">
      <c r="A16" s="16" t="s">
        <v>730</v>
      </c>
      <c r="B16" s="15">
        <v>0</v>
      </c>
      <c r="C16" s="15">
        <v>0</v>
      </c>
      <c r="D16" s="15">
        <f t="shared" si="3"/>
        <v>0</v>
      </c>
      <c r="E16" s="15">
        <f t="shared" si="4"/>
        <v>0</v>
      </c>
      <c r="F16" s="15"/>
      <c r="G16" s="15"/>
      <c r="H16" s="15"/>
    </row>
    <row r="17" spans="1:8" x14ac:dyDescent="0.25">
      <c r="A17" s="16" t="s">
        <v>731</v>
      </c>
      <c r="B17" s="15"/>
      <c r="C17" s="15"/>
      <c r="D17" s="15">
        <f t="shared" si="3"/>
        <v>0</v>
      </c>
      <c r="E17" s="15">
        <f t="shared" si="4"/>
        <v>0</v>
      </c>
      <c r="F17" s="15"/>
      <c r="G17" s="15"/>
      <c r="H17" s="15"/>
    </row>
    <row r="18" spans="1:8" x14ac:dyDescent="0.25">
      <c r="A18" s="60" t="s">
        <v>733</v>
      </c>
      <c r="B18" s="50">
        <f>SUM(B13:B17)</f>
        <v>19440</v>
      </c>
      <c r="C18" s="50">
        <f t="shared" ref="C18:H18" si="5">SUM(C13:C17)</f>
        <v>0</v>
      </c>
      <c r="D18" s="50">
        <f t="shared" si="3"/>
        <v>19440</v>
      </c>
      <c r="E18" s="50">
        <f t="shared" si="4"/>
        <v>0</v>
      </c>
      <c r="F18" s="50">
        <f t="shared" si="5"/>
        <v>0</v>
      </c>
      <c r="G18" s="50">
        <f t="shared" si="5"/>
        <v>0</v>
      </c>
      <c r="H18" s="50">
        <f t="shared" si="5"/>
        <v>0</v>
      </c>
    </row>
    <row r="19" spans="1:8" x14ac:dyDescent="0.25">
      <c r="A19" s="16"/>
      <c r="B19" s="15"/>
      <c r="C19" s="15"/>
      <c r="D19" s="15"/>
      <c r="E19" s="15"/>
      <c r="F19" s="15"/>
      <c r="G19" s="15"/>
      <c r="H19" s="15"/>
    </row>
    <row r="20" spans="1:8" x14ac:dyDescent="0.25">
      <c r="A20" s="60" t="s">
        <v>732</v>
      </c>
      <c r="B20" s="18">
        <f>+B12+B18</f>
        <v>19440</v>
      </c>
      <c r="C20" s="18">
        <f t="shared" ref="C20:H20" si="6">+C12+C18</f>
        <v>0</v>
      </c>
      <c r="D20" s="18">
        <f t="shared" si="6"/>
        <v>19440</v>
      </c>
      <c r="E20" s="18">
        <f t="shared" si="6"/>
        <v>0</v>
      </c>
      <c r="F20" s="18">
        <f t="shared" si="6"/>
        <v>0</v>
      </c>
      <c r="G20" s="18">
        <f t="shared" si="6"/>
        <v>0</v>
      </c>
      <c r="H20" s="18">
        <f t="shared" si="6"/>
        <v>0</v>
      </c>
    </row>
    <row r="21" spans="1:8" x14ac:dyDescent="0.25">
      <c r="A21" s="16"/>
      <c r="B21" s="15"/>
      <c r="C21" s="15"/>
      <c r="D21" s="15"/>
      <c r="E21" s="15"/>
      <c r="F21" s="15"/>
      <c r="G21" s="15"/>
      <c r="H21" s="15"/>
    </row>
    <row r="22" spans="1:8" ht="27.6" x14ac:dyDescent="0.25">
      <c r="A22" s="54" t="s">
        <v>734</v>
      </c>
      <c r="B22" s="47">
        <f>+'NOTE 30'!I29-'NOTE 30'!B29</f>
        <v>0</v>
      </c>
      <c r="C22" s="47">
        <f>+'NOTE 30'!C29</f>
        <v>0</v>
      </c>
      <c r="D22" s="47">
        <f>B22-C22</f>
        <v>0</v>
      </c>
      <c r="E22" s="47">
        <f>IF(C22=0,0,(B22-C22)/C22)*100</f>
        <v>0</v>
      </c>
      <c r="F22" s="61"/>
      <c r="G22" s="61"/>
      <c r="H22" s="61"/>
    </row>
    <row r="23" spans="1:8" x14ac:dyDescent="0.25">
      <c r="A23" s="62"/>
      <c r="B23" s="56"/>
      <c r="C23" s="56"/>
      <c r="D23" s="56"/>
      <c r="E23" s="56"/>
      <c r="F23" s="63"/>
      <c r="G23" s="63"/>
      <c r="H23" s="63"/>
    </row>
    <row r="24" spans="1:8" ht="14.4" x14ac:dyDescent="0.3">
      <c r="A24" s="64" t="s">
        <v>535</v>
      </c>
      <c r="B24" s="24"/>
      <c r="C24" s="24"/>
      <c r="D24" s="24"/>
    </row>
    <row r="25" spans="1:8" x14ac:dyDescent="0.25">
      <c r="A25" s="528" t="s">
        <v>735</v>
      </c>
      <c r="B25" s="528"/>
      <c r="C25" s="528"/>
      <c r="D25" s="528"/>
    </row>
    <row r="26" spans="1:8" x14ac:dyDescent="0.25">
      <c r="A26" s="528" t="s">
        <v>736</v>
      </c>
      <c r="B26" s="528"/>
      <c r="C26" s="528"/>
      <c r="D26" s="528"/>
    </row>
    <row r="27" spans="1:8" x14ac:dyDescent="0.25">
      <c r="A27" s="528" t="s">
        <v>737</v>
      </c>
      <c r="B27" s="528"/>
      <c r="C27" s="528"/>
      <c r="D27" s="528"/>
    </row>
    <row r="28" spans="1:8" x14ac:dyDescent="0.25">
      <c r="A28" s="58"/>
    </row>
  </sheetData>
  <mergeCells count="10">
    <mergeCell ref="H6:H7"/>
    <mergeCell ref="A25:D25"/>
    <mergeCell ref="A26:D26"/>
    <mergeCell ref="A27:D27"/>
    <mergeCell ref="A6:A7"/>
    <mergeCell ref="B6:B7"/>
    <mergeCell ref="C6:C7"/>
    <mergeCell ref="D6:E6"/>
    <mergeCell ref="F6:F7"/>
    <mergeCell ref="G6:G7"/>
  </mergeCells>
  <pageMargins left="0.7" right="0.7" top="0.75" bottom="0.75" header="0.3" footer="0.3"/>
  <pageSetup paperSize="9" scale="76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22"/>
  <sheetViews>
    <sheetView topLeftCell="A2" workbookViewId="0">
      <selection activeCell="A18" sqref="A18:E18"/>
    </sheetView>
  </sheetViews>
  <sheetFormatPr baseColWidth="10" defaultColWidth="11.44140625" defaultRowHeight="13.8" x14ac:dyDescent="0.25"/>
  <cols>
    <col min="1" max="1" width="39.5546875" style="5" customWidth="1"/>
    <col min="2" max="16384" width="11.44140625" style="5"/>
  </cols>
  <sheetData>
    <row r="6" spans="1:5" x14ac:dyDescent="0.25">
      <c r="A6" s="583" t="s">
        <v>337</v>
      </c>
      <c r="B6" s="585" t="s">
        <v>505</v>
      </c>
      <c r="C6" s="585" t="s">
        <v>506</v>
      </c>
      <c r="D6" s="585" t="s">
        <v>523</v>
      </c>
      <c r="E6" s="585"/>
    </row>
    <row r="7" spans="1:5" x14ac:dyDescent="0.25">
      <c r="A7" s="584"/>
      <c r="B7" s="585"/>
      <c r="C7" s="585"/>
      <c r="D7" s="59" t="s">
        <v>524</v>
      </c>
      <c r="E7" s="59" t="s">
        <v>525</v>
      </c>
    </row>
    <row r="8" spans="1:5" x14ac:dyDescent="0.25">
      <c r="A8" s="7" t="s">
        <v>592</v>
      </c>
      <c r="B8" s="15">
        <v>0</v>
      </c>
      <c r="C8" s="15">
        <v>0</v>
      </c>
      <c r="D8" s="15">
        <f>B8-C8</f>
        <v>0</v>
      </c>
      <c r="E8" s="15">
        <f>IF(C8=0,0,(B8-C8)/C8)*100</f>
        <v>0</v>
      </c>
    </row>
    <row r="9" spans="1:5" x14ac:dyDescent="0.25">
      <c r="A9" s="7" t="s">
        <v>738</v>
      </c>
      <c r="B9" s="15">
        <v>0</v>
      </c>
      <c r="C9" s="15">
        <v>0</v>
      </c>
      <c r="D9" s="15">
        <f t="shared" ref="D9:D13" si="0">B9-C9</f>
        <v>0</v>
      </c>
      <c r="E9" s="15">
        <f t="shared" ref="E9:E13" si="1">IF(C9=0,0,(B9-C9)/C9)*100</f>
        <v>0</v>
      </c>
    </row>
    <row r="10" spans="1:5" x14ac:dyDescent="0.25">
      <c r="A10" s="7" t="s">
        <v>739</v>
      </c>
      <c r="B10" s="15">
        <v>0</v>
      </c>
      <c r="C10" s="15">
        <v>0</v>
      </c>
      <c r="D10" s="15">
        <f t="shared" si="0"/>
        <v>0</v>
      </c>
      <c r="E10" s="15">
        <f t="shared" si="1"/>
        <v>0</v>
      </c>
    </row>
    <row r="11" spans="1:5" x14ac:dyDescent="0.25">
      <c r="A11" s="7" t="s">
        <v>740</v>
      </c>
      <c r="B11" s="15">
        <v>0</v>
      </c>
      <c r="C11" s="15">
        <v>0</v>
      </c>
      <c r="D11" s="15">
        <f t="shared" si="0"/>
        <v>0</v>
      </c>
      <c r="E11" s="15">
        <f t="shared" si="1"/>
        <v>0</v>
      </c>
    </row>
    <row r="12" spans="1:5" x14ac:dyDescent="0.25">
      <c r="A12" s="7" t="s">
        <v>741</v>
      </c>
      <c r="B12" s="15">
        <v>0</v>
      </c>
      <c r="C12" s="15">
        <v>0</v>
      </c>
      <c r="D12" s="15">
        <f t="shared" si="0"/>
        <v>0</v>
      </c>
      <c r="E12" s="15">
        <f t="shared" si="1"/>
        <v>0</v>
      </c>
    </row>
    <row r="13" spans="1:5" ht="27.6" x14ac:dyDescent="0.25">
      <c r="A13" s="66" t="s">
        <v>742</v>
      </c>
      <c r="B13" s="18">
        <f>SUM(B8:B12)</f>
        <v>0</v>
      </c>
      <c r="C13" s="18">
        <f t="shared" ref="C13" si="2">SUM(C8:C12)</f>
        <v>0</v>
      </c>
      <c r="D13" s="18">
        <f t="shared" si="0"/>
        <v>0</v>
      </c>
      <c r="E13" s="18">
        <f t="shared" si="1"/>
        <v>0</v>
      </c>
    </row>
    <row r="14" spans="1:5" x14ac:dyDescent="0.25">
      <c r="A14" s="7"/>
      <c r="B14" s="15"/>
      <c r="C14" s="15"/>
      <c r="D14" s="15"/>
      <c r="E14" s="15"/>
    </row>
    <row r="15" spans="1:5" x14ac:dyDescent="0.25">
      <c r="A15" s="11" t="s">
        <v>129</v>
      </c>
      <c r="B15" s="47">
        <f>B13</f>
        <v>0</v>
      </c>
      <c r="C15" s="47">
        <f t="shared" ref="C15:E15" si="3">C13</f>
        <v>0</v>
      </c>
      <c r="D15" s="47">
        <f t="shared" si="3"/>
        <v>0</v>
      </c>
      <c r="E15" s="47">
        <f t="shared" si="3"/>
        <v>0</v>
      </c>
    </row>
    <row r="16" spans="1:5" x14ac:dyDescent="0.25">
      <c r="A16" s="6"/>
    </row>
    <row r="17" spans="1:6" x14ac:dyDescent="0.25">
      <c r="A17" s="67" t="s">
        <v>535</v>
      </c>
      <c r="B17" s="24"/>
      <c r="C17" s="24"/>
      <c r="D17" s="24"/>
      <c r="E17" s="24"/>
      <c r="F17" s="24"/>
    </row>
    <row r="18" spans="1:6" x14ac:dyDescent="0.25">
      <c r="A18" s="586" t="s">
        <v>744</v>
      </c>
      <c r="B18" s="586"/>
      <c r="C18" s="586"/>
      <c r="D18" s="586"/>
      <c r="E18" s="586"/>
      <c r="F18" s="24"/>
    </row>
    <row r="19" spans="1:6" x14ac:dyDescent="0.25">
      <c r="A19" s="586" t="s">
        <v>745</v>
      </c>
      <c r="B19" s="586"/>
      <c r="C19" s="586"/>
      <c r="D19" s="586"/>
      <c r="E19" s="586"/>
      <c r="F19" s="24"/>
    </row>
    <row r="20" spans="1:6" x14ac:dyDescent="0.25">
      <c r="A20" s="25"/>
      <c r="B20" s="24"/>
      <c r="C20" s="24"/>
      <c r="D20" s="24"/>
      <c r="E20" s="24"/>
      <c r="F20" s="24"/>
    </row>
    <row r="21" spans="1:6" x14ac:dyDescent="0.25">
      <c r="A21" s="582" t="s">
        <v>743</v>
      </c>
      <c r="B21" s="582"/>
      <c r="C21" s="582"/>
      <c r="D21" s="582"/>
      <c r="E21" s="582"/>
      <c r="F21" s="24"/>
    </row>
    <row r="22" spans="1:6" x14ac:dyDescent="0.25">
      <c r="A22" s="24"/>
      <c r="B22" s="24"/>
      <c r="C22" s="24"/>
      <c r="D22" s="24"/>
      <c r="E22" s="24"/>
      <c r="F22" s="24"/>
    </row>
  </sheetData>
  <mergeCells count="7">
    <mergeCell ref="A21:E21"/>
    <mergeCell ref="A6:A7"/>
    <mergeCell ref="B6:B7"/>
    <mergeCell ref="C6:C7"/>
    <mergeCell ref="D6:E6"/>
    <mergeCell ref="A18:E18"/>
    <mergeCell ref="A19:E19"/>
  </mergeCells>
  <pageMargins left="0.7" right="0.7" top="0.75" bottom="0.75" header="0.3" footer="0.3"/>
  <pageSetup paperSize="9" scale="90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E24"/>
  <sheetViews>
    <sheetView workbookViewId="0">
      <selection activeCell="G10" sqref="G10"/>
    </sheetView>
  </sheetViews>
  <sheetFormatPr baseColWidth="10" defaultColWidth="11.44140625" defaultRowHeight="13.8" x14ac:dyDescent="0.25"/>
  <cols>
    <col min="1" max="1" width="52.5546875" style="5" customWidth="1"/>
    <col min="2" max="2" width="11.44140625" style="5"/>
    <col min="3" max="3" width="10.44140625" style="5" customWidth="1"/>
    <col min="4" max="4" width="10" style="5" customWidth="1"/>
    <col min="5" max="5" width="6.44140625" style="5" customWidth="1"/>
    <col min="6" max="16384" width="11.44140625" style="5"/>
  </cols>
  <sheetData>
    <row r="7" spans="1:5" x14ac:dyDescent="0.25">
      <c r="A7" s="587" t="s">
        <v>337</v>
      </c>
      <c r="B7" s="587" t="s">
        <v>505</v>
      </c>
      <c r="C7" s="585" t="s">
        <v>506</v>
      </c>
      <c r="D7" s="587" t="s">
        <v>523</v>
      </c>
      <c r="E7" s="587"/>
    </row>
    <row r="8" spans="1:5" x14ac:dyDescent="0.25">
      <c r="A8" s="587"/>
      <c r="B8" s="587"/>
      <c r="C8" s="585"/>
      <c r="D8" s="70" t="s">
        <v>524</v>
      </c>
      <c r="E8" s="70" t="s">
        <v>525</v>
      </c>
    </row>
    <row r="9" spans="1:5" x14ac:dyDescent="0.25">
      <c r="A9" s="7" t="s">
        <v>746</v>
      </c>
      <c r="B9" s="15">
        <v>12791669</v>
      </c>
      <c r="C9" s="15">
        <v>0</v>
      </c>
      <c r="D9" s="15">
        <f>B9-C9</f>
        <v>12791669</v>
      </c>
      <c r="E9" s="15">
        <f>IF(C9=0,0,(B9-C9)/C9)*100</f>
        <v>0</v>
      </c>
    </row>
    <row r="10" spans="1:5" x14ac:dyDescent="0.25">
      <c r="A10" s="7" t="s">
        <v>1177</v>
      </c>
      <c r="B10" s="15">
        <v>0</v>
      </c>
      <c r="C10" s="15">
        <v>0</v>
      </c>
      <c r="D10" s="15">
        <f t="shared" ref="D10:D20" si="0">B10-C10</f>
        <v>0</v>
      </c>
      <c r="E10" s="15">
        <f t="shared" ref="E10:E20" si="1">IF(C10=0,0,(B10-C10)/C10)*100</f>
        <v>0</v>
      </c>
    </row>
    <row r="11" spans="1:5" x14ac:dyDescent="0.25">
      <c r="A11" s="7" t="s">
        <v>138</v>
      </c>
      <c r="B11" s="15">
        <v>112035596</v>
      </c>
      <c r="C11" s="15">
        <v>125670000</v>
      </c>
      <c r="D11" s="15">
        <f t="shared" si="0"/>
        <v>-13634404</v>
      </c>
      <c r="E11" s="15">
        <f t="shared" si="1"/>
        <v>-10.849370573724835</v>
      </c>
    </row>
    <row r="12" spans="1:5" x14ac:dyDescent="0.25">
      <c r="A12" s="7" t="s">
        <v>747</v>
      </c>
      <c r="B12" s="15">
        <v>0</v>
      </c>
      <c r="C12" s="15">
        <v>0</v>
      </c>
      <c r="D12" s="15">
        <f t="shared" si="0"/>
        <v>0</v>
      </c>
      <c r="E12" s="15">
        <f t="shared" si="1"/>
        <v>0</v>
      </c>
    </row>
    <row r="13" spans="1:5" x14ac:dyDescent="0.25">
      <c r="A13" s="7" t="s">
        <v>748</v>
      </c>
      <c r="B13" s="15">
        <v>0</v>
      </c>
      <c r="C13" s="15">
        <v>0</v>
      </c>
      <c r="D13" s="15">
        <f t="shared" si="0"/>
        <v>0</v>
      </c>
      <c r="E13" s="15">
        <f t="shared" si="1"/>
        <v>0</v>
      </c>
    </row>
    <row r="14" spans="1:5" x14ac:dyDescent="0.25">
      <c r="A14" s="7" t="s">
        <v>749</v>
      </c>
      <c r="B14" s="15">
        <v>0</v>
      </c>
      <c r="C14" s="15">
        <v>0</v>
      </c>
      <c r="D14" s="15">
        <f t="shared" si="0"/>
        <v>0</v>
      </c>
      <c r="E14" s="15">
        <f t="shared" si="1"/>
        <v>0</v>
      </c>
    </row>
    <row r="15" spans="1:5" x14ac:dyDescent="0.25">
      <c r="A15" s="69" t="s">
        <v>750</v>
      </c>
      <c r="B15" s="18">
        <f>SUM(B9:B14)</f>
        <v>124827265</v>
      </c>
      <c r="C15" s="18">
        <f t="shared" ref="C15" si="2">SUM(C9:C14)</f>
        <v>125670000</v>
      </c>
      <c r="D15" s="18">
        <f t="shared" si="0"/>
        <v>-842735</v>
      </c>
      <c r="E15" s="18">
        <f t="shared" si="1"/>
        <v>-0.67059361820641361</v>
      </c>
    </row>
    <row r="16" spans="1:5" x14ac:dyDescent="0.25">
      <c r="A16" s="7" t="s">
        <v>751</v>
      </c>
      <c r="B16" s="15">
        <v>0</v>
      </c>
      <c r="C16" s="15">
        <v>0</v>
      </c>
      <c r="D16" s="15">
        <f t="shared" si="0"/>
        <v>0</v>
      </c>
      <c r="E16" s="15">
        <f t="shared" si="1"/>
        <v>0</v>
      </c>
    </row>
    <row r="17" spans="1:5" x14ac:dyDescent="0.25">
      <c r="A17" s="7" t="s">
        <v>752</v>
      </c>
      <c r="B17" s="15">
        <v>0</v>
      </c>
      <c r="C17" s="15">
        <v>5255456</v>
      </c>
      <c r="D17" s="15">
        <f t="shared" si="0"/>
        <v>-5255456</v>
      </c>
      <c r="E17" s="15">
        <f t="shared" si="1"/>
        <v>-100</v>
      </c>
    </row>
    <row r="18" spans="1:5" ht="27.6" x14ac:dyDescent="0.25">
      <c r="A18" s="66" t="s">
        <v>753</v>
      </c>
      <c r="B18" s="18">
        <f>SUM(B16:B17)</f>
        <v>0</v>
      </c>
      <c r="C18" s="18">
        <f t="shared" ref="C18" si="3">SUM(C16:C17)</f>
        <v>5255456</v>
      </c>
      <c r="D18" s="18">
        <f t="shared" si="0"/>
        <v>-5255456</v>
      </c>
      <c r="E18" s="18">
        <f t="shared" si="1"/>
        <v>-100</v>
      </c>
    </row>
    <row r="19" spans="1:5" x14ac:dyDescent="0.25">
      <c r="A19" s="7"/>
      <c r="B19" s="15"/>
      <c r="C19" s="15"/>
      <c r="D19" s="15"/>
      <c r="E19" s="15"/>
    </row>
    <row r="20" spans="1:5" x14ac:dyDescent="0.25">
      <c r="A20" s="11" t="s">
        <v>754</v>
      </c>
      <c r="B20" s="123">
        <f>B15+B18</f>
        <v>124827265</v>
      </c>
      <c r="C20" s="123">
        <f t="shared" ref="C20" si="4">C15+C18</f>
        <v>130925456</v>
      </c>
      <c r="D20" s="123">
        <f t="shared" si="0"/>
        <v>-6098191</v>
      </c>
      <c r="E20" s="123">
        <f t="shared" si="1"/>
        <v>-4.6577580757098911</v>
      </c>
    </row>
    <row r="21" spans="1:5" x14ac:dyDescent="0.25">
      <c r="A21" s="71"/>
      <c r="B21" s="72"/>
      <c r="C21" s="72"/>
      <c r="D21" s="72"/>
      <c r="E21" s="72"/>
    </row>
    <row r="22" spans="1:5" ht="14.4" x14ac:dyDescent="0.25">
      <c r="A22" s="65" t="s">
        <v>535</v>
      </c>
    </row>
    <row r="23" spans="1:5" ht="14.4" x14ac:dyDescent="0.3">
      <c r="A23" s="68" t="s">
        <v>1239</v>
      </c>
      <c r="B23"/>
      <c r="C23"/>
      <c r="D23"/>
      <c r="E23"/>
    </row>
    <row r="24" spans="1:5" ht="14.4" x14ac:dyDescent="0.3">
      <c r="A24" s="68" t="s">
        <v>1238</v>
      </c>
      <c r="B24"/>
      <c r="C24"/>
      <c r="D24"/>
      <c r="E24"/>
    </row>
  </sheetData>
  <mergeCells count="4">
    <mergeCell ref="A7:A8"/>
    <mergeCell ref="B7:B8"/>
    <mergeCell ref="C7:C8"/>
    <mergeCell ref="D7:E7"/>
  </mergeCells>
  <pageMargins left="0.7" right="0.7" top="0.75" bottom="0.75" header="0.3" footer="0.3"/>
  <pageSetup paperSize="9" scale="65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topLeftCell="A12" zoomScaleNormal="100" workbookViewId="0">
      <selection activeCell="H16" sqref="H16"/>
    </sheetView>
  </sheetViews>
  <sheetFormatPr baseColWidth="10" defaultColWidth="11.44140625" defaultRowHeight="13.8" x14ac:dyDescent="0.25"/>
  <cols>
    <col min="1" max="1" width="51" style="5" customWidth="1"/>
    <col min="2" max="2" width="11.44140625" style="5"/>
    <col min="3" max="3" width="8.21875" style="5" customWidth="1"/>
    <col min="4" max="4" width="10.88671875" style="5" customWidth="1"/>
    <col min="5" max="5" width="8.33203125" style="5" customWidth="1"/>
    <col min="6" max="16384" width="11.44140625" style="5"/>
  </cols>
  <sheetData>
    <row r="1" spans="1:6" x14ac:dyDescent="0.25">
      <c r="F1" s="5" t="s">
        <v>405</v>
      </c>
    </row>
    <row r="6" spans="1:6" x14ac:dyDescent="0.25">
      <c r="A6" s="585" t="s">
        <v>337</v>
      </c>
      <c r="B6" s="585" t="s">
        <v>505</v>
      </c>
      <c r="C6" s="585" t="s">
        <v>506</v>
      </c>
      <c r="D6" s="585" t="s">
        <v>523</v>
      </c>
      <c r="E6" s="585"/>
    </row>
    <row r="7" spans="1:6" x14ac:dyDescent="0.25">
      <c r="A7" s="585"/>
      <c r="B7" s="585"/>
      <c r="C7" s="585"/>
      <c r="D7" s="59" t="s">
        <v>524</v>
      </c>
      <c r="E7" s="59" t="s">
        <v>525</v>
      </c>
    </row>
    <row r="8" spans="1:6" x14ac:dyDescent="0.25">
      <c r="A8" s="8" t="s">
        <v>755</v>
      </c>
      <c r="B8" s="15">
        <v>72475</v>
      </c>
      <c r="C8" s="15">
        <v>0</v>
      </c>
      <c r="D8" s="15">
        <f>B8-C8</f>
        <v>72475</v>
      </c>
      <c r="E8" s="15">
        <f>IF(C8=0,0,(B8-C8)/C8)*100</f>
        <v>0</v>
      </c>
    </row>
    <row r="9" spans="1:6" ht="27.6" x14ac:dyDescent="0.25">
      <c r="A9" s="8" t="s">
        <v>756</v>
      </c>
      <c r="B9" s="15">
        <v>24275900</v>
      </c>
      <c r="D9" s="15">
        <f>B9-C25</f>
        <v>22750950</v>
      </c>
      <c r="E9" s="15">
        <f>IF(C25=0,0,(B9-C25)/C25)*100</f>
        <v>1491.9144889996394</v>
      </c>
    </row>
    <row r="10" spans="1:6" x14ac:dyDescent="0.25">
      <c r="A10" s="8" t="s">
        <v>757</v>
      </c>
      <c r="B10" s="15">
        <v>0</v>
      </c>
      <c r="C10" s="15">
        <v>0</v>
      </c>
      <c r="D10" s="15">
        <f t="shared" ref="D10:D31" si="0">B10-C10</f>
        <v>0</v>
      </c>
      <c r="E10" s="15">
        <f t="shared" ref="E10:E31" si="1">IF(C10=0,0,(B10-C10)/C10)*100</f>
        <v>0</v>
      </c>
    </row>
    <row r="11" spans="1:6" ht="27.6" x14ac:dyDescent="0.25">
      <c r="A11" s="66" t="s">
        <v>758</v>
      </c>
      <c r="B11" s="18">
        <f>SUM(B8:B10)</f>
        <v>24348375</v>
      </c>
      <c r="C11" s="18">
        <f t="shared" ref="C11" si="2">SUM(C8:C10)</f>
        <v>0</v>
      </c>
      <c r="D11" s="18">
        <f t="shared" si="0"/>
        <v>24348375</v>
      </c>
      <c r="E11" s="18">
        <f t="shared" si="1"/>
        <v>0</v>
      </c>
    </row>
    <row r="12" spans="1:6" ht="27.6" x14ac:dyDescent="0.25">
      <c r="A12" s="8" t="s">
        <v>759</v>
      </c>
      <c r="B12" s="15">
        <v>0</v>
      </c>
      <c r="C12" s="15">
        <v>0</v>
      </c>
      <c r="D12" s="15">
        <f t="shared" si="0"/>
        <v>0</v>
      </c>
      <c r="E12" s="15">
        <f t="shared" si="1"/>
        <v>0</v>
      </c>
    </row>
    <row r="13" spans="1:6" ht="27.6" x14ac:dyDescent="0.25">
      <c r="A13" s="8" t="s">
        <v>760</v>
      </c>
      <c r="B13" s="15">
        <v>0</v>
      </c>
      <c r="C13" s="15">
        <v>0</v>
      </c>
      <c r="D13" s="15">
        <f t="shared" si="0"/>
        <v>0</v>
      </c>
      <c r="E13" s="15">
        <f t="shared" si="1"/>
        <v>0</v>
      </c>
    </row>
    <row r="14" spans="1:6" ht="21" customHeight="1" x14ac:dyDescent="0.25">
      <c r="A14" s="8" t="s">
        <v>761</v>
      </c>
      <c r="B14" s="15">
        <v>0</v>
      </c>
      <c r="C14" s="15">
        <v>0</v>
      </c>
      <c r="D14" s="15">
        <f t="shared" si="0"/>
        <v>0</v>
      </c>
      <c r="E14" s="15">
        <f t="shared" si="1"/>
        <v>0</v>
      </c>
    </row>
    <row r="15" spans="1:6" ht="27.6" x14ac:dyDescent="0.25">
      <c r="A15" s="66" t="s">
        <v>1178</v>
      </c>
      <c r="B15" s="18">
        <f>SUM(B12:B14)</f>
        <v>0</v>
      </c>
      <c r="C15" s="18">
        <f>SUM(C12:C14)</f>
        <v>0</v>
      </c>
      <c r="D15" s="18">
        <f t="shared" si="0"/>
        <v>0</v>
      </c>
      <c r="E15" s="18">
        <f t="shared" si="1"/>
        <v>0</v>
      </c>
    </row>
    <row r="16" spans="1:6" x14ac:dyDescent="0.25">
      <c r="A16" s="8" t="s">
        <v>762</v>
      </c>
      <c r="B16" s="15">
        <v>0</v>
      </c>
      <c r="C16" s="15">
        <v>0</v>
      </c>
      <c r="D16" s="15">
        <f t="shared" si="0"/>
        <v>0</v>
      </c>
      <c r="E16" s="15">
        <f t="shared" si="1"/>
        <v>0</v>
      </c>
    </row>
    <row r="17" spans="1:5" x14ac:dyDescent="0.25">
      <c r="A17" s="8" t="s">
        <v>763</v>
      </c>
      <c r="B17" s="15">
        <v>0</v>
      </c>
      <c r="C17" s="15">
        <v>0</v>
      </c>
      <c r="D17" s="15">
        <f t="shared" si="0"/>
        <v>0</v>
      </c>
      <c r="E17" s="15">
        <f t="shared" si="1"/>
        <v>0</v>
      </c>
    </row>
    <row r="18" spans="1:5" x14ac:dyDescent="0.25">
      <c r="A18" s="8" t="s">
        <v>764</v>
      </c>
      <c r="B18" s="15">
        <v>0</v>
      </c>
      <c r="C18" s="15">
        <v>0</v>
      </c>
      <c r="D18" s="15">
        <f t="shared" si="0"/>
        <v>0</v>
      </c>
      <c r="E18" s="15">
        <f t="shared" si="1"/>
        <v>0</v>
      </c>
    </row>
    <row r="19" spans="1:5" x14ac:dyDescent="0.25">
      <c r="A19" s="8" t="s">
        <v>765</v>
      </c>
      <c r="B19" s="355">
        <v>0</v>
      </c>
      <c r="C19" s="355">
        <v>0</v>
      </c>
      <c r="D19" s="15">
        <f>B19-C19</f>
        <v>0</v>
      </c>
      <c r="E19" s="15">
        <f>IF(C19=0,0,(B19-C19)/C19)*100</f>
        <v>0</v>
      </c>
    </row>
    <row r="20" spans="1:5" x14ac:dyDescent="0.25">
      <c r="A20" s="8" t="s">
        <v>766</v>
      </c>
      <c r="B20" s="15">
        <v>0</v>
      </c>
      <c r="C20" s="15">
        <v>0</v>
      </c>
      <c r="D20" s="15">
        <f t="shared" si="0"/>
        <v>0</v>
      </c>
      <c r="E20" s="15">
        <f t="shared" si="1"/>
        <v>0</v>
      </c>
    </row>
    <row r="21" spans="1:5" x14ac:dyDescent="0.25">
      <c r="A21" s="8" t="s">
        <v>767</v>
      </c>
      <c r="B21" s="15">
        <v>0</v>
      </c>
      <c r="C21" s="15">
        <v>0</v>
      </c>
      <c r="D21" s="15">
        <f t="shared" si="0"/>
        <v>0</v>
      </c>
      <c r="E21" s="15">
        <f t="shared" si="1"/>
        <v>0</v>
      </c>
    </row>
    <row r="22" spans="1:5" x14ac:dyDescent="0.25">
      <c r="A22" s="8" t="s">
        <v>768</v>
      </c>
      <c r="B22" s="15">
        <v>0</v>
      </c>
      <c r="C22" s="15">
        <v>0</v>
      </c>
      <c r="D22" s="15">
        <f t="shared" si="0"/>
        <v>0</v>
      </c>
      <c r="E22" s="15">
        <f t="shared" si="1"/>
        <v>0</v>
      </c>
    </row>
    <row r="23" spans="1:5" x14ac:dyDescent="0.25">
      <c r="A23" s="8" t="s">
        <v>769</v>
      </c>
      <c r="B23" s="15">
        <v>0</v>
      </c>
      <c r="C23" s="15">
        <v>0</v>
      </c>
      <c r="D23" s="15">
        <f t="shared" si="0"/>
        <v>0</v>
      </c>
      <c r="E23" s="15">
        <f t="shared" si="1"/>
        <v>0</v>
      </c>
    </row>
    <row r="24" spans="1:5" x14ac:dyDescent="0.25">
      <c r="A24" s="8" t="s">
        <v>770</v>
      </c>
      <c r="B24" s="15">
        <v>0</v>
      </c>
      <c r="C24" s="15">
        <v>0</v>
      </c>
      <c r="D24" s="15">
        <f t="shared" si="0"/>
        <v>0</v>
      </c>
      <c r="E24" s="15">
        <f t="shared" si="1"/>
        <v>0</v>
      </c>
    </row>
    <row r="25" spans="1:5" x14ac:dyDescent="0.25">
      <c r="A25" s="8" t="s">
        <v>771</v>
      </c>
      <c r="B25" s="15">
        <v>50000</v>
      </c>
      <c r="C25" s="355">
        <v>1524950</v>
      </c>
      <c r="D25" s="15">
        <f>B25-C25</f>
        <v>-1474950</v>
      </c>
      <c r="E25" s="15">
        <f>IF(C25=0,0,(B25-C25)/C25)*100</f>
        <v>-96.721203973900785</v>
      </c>
    </row>
    <row r="26" spans="1:5" x14ac:dyDescent="0.25">
      <c r="A26" s="8" t="s">
        <v>772</v>
      </c>
      <c r="B26" s="15">
        <v>0</v>
      </c>
      <c r="C26" s="15">
        <v>0</v>
      </c>
      <c r="D26" s="15">
        <f t="shared" si="0"/>
        <v>0</v>
      </c>
      <c r="E26" s="15">
        <f t="shared" si="1"/>
        <v>0</v>
      </c>
    </row>
    <row r="27" spans="1:5" ht="27.6" x14ac:dyDescent="0.25">
      <c r="A27" s="8" t="s">
        <v>773</v>
      </c>
      <c r="B27" s="15">
        <v>0</v>
      </c>
      <c r="C27" s="15">
        <v>0</v>
      </c>
      <c r="D27" s="15">
        <f t="shared" si="0"/>
        <v>0</v>
      </c>
      <c r="E27" s="15">
        <f t="shared" si="1"/>
        <v>0</v>
      </c>
    </row>
    <row r="28" spans="1:5" x14ac:dyDescent="0.25">
      <c r="A28" s="8" t="s">
        <v>774</v>
      </c>
      <c r="B28" s="15">
        <v>0</v>
      </c>
      <c r="C28" s="15">
        <v>0</v>
      </c>
      <c r="D28" s="15">
        <f t="shared" si="0"/>
        <v>0</v>
      </c>
      <c r="E28" s="15">
        <f t="shared" si="1"/>
        <v>0</v>
      </c>
    </row>
    <row r="29" spans="1:5" x14ac:dyDescent="0.25">
      <c r="A29" s="8" t="s">
        <v>775</v>
      </c>
      <c r="B29" s="15">
        <v>0</v>
      </c>
      <c r="C29" s="15">
        <v>0</v>
      </c>
      <c r="D29" s="15">
        <f t="shared" si="0"/>
        <v>0</v>
      </c>
      <c r="E29" s="15">
        <f t="shared" si="1"/>
        <v>0</v>
      </c>
    </row>
    <row r="30" spans="1:5" x14ac:dyDescent="0.25">
      <c r="A30" s="8" t="s">
        <v>776</v>
      </c>
      <c r="B30" s="15">
        <v>0</v>
      </c>
      <c r="C30" s="15">
        <v>0</v>
      </c>
      <c r="D30" s="15">
        <f t="shared" si="0"/>
        <v>0</v>
      </c>
      <c r="E30" s="15">
        <f t="shared" si="1"/>
        <v>0</v>
      </c>
    </row>
    <row r="31" spans="1:5" x14ac:dyDescent="0.25">
      <c r="A31" s="74" t="s">
        <v>777</v>
      </c>
      <c r="B31" s="47">
        <f>SUM(B16:B30)</f>
        <v>50000</v>
      </c>
      <c r="C31" s="47">
        <f t="shared" ref="C31" si="3">SUM(C16:C30)</f>
        <v>1524950</v>
      </c>
      <c r="D31" s="47">
        <f t="shared" si="0"/>
        <v>-1474950</v>
      </c>
      <c r="E31" s="47">
        <f t="shared" si="1"/>
        <v>-96.721203973900785</v>
      </c>
    </row>
    <row r="32" spans="1:5" x14ac:dyDescent="0.25">
      <c r="A32" s="73"/>
    </row>
    <row r="33" spans="1:1" x14ac:dyDescent="0.25">
      <c r="A33" s="67" t="s">
        <v>778</v>
      </c>
    </row>
    <row r="34" spans="1:1" x14ac:dyDescent="0.25">
      <c r="A34" s="654" t="s">
        <v>1250</v>
      </c>
    </row>
    <row r="35" spans="1:1" x14ac:dyDescent="0.25">
      <c r="A35" s="25" t="s">
        <v>405</v>
      </c>
    </row>
    <row r="36" spans="1:1" x14ac:dyDescent="0.25">
      <c r="A36" s="25" t="s">
        <v>405</v>
      </c>
    </row>
  </sheetData>
  <mergeCells count="4">
    <mergeCell ref="A6:A7"/>
    <mergeCell ref="B6:B7"/>
    <mergeCell ref="C6:C7"/>
    <mergeCell ref="D6:E6"/>
  </mergeCells>
  <pageMargins left="0.7" right="0.7" top="0.75" bottom="0.75" header="0.3" footer="0.3"/>
  <pageSetup paperSize="9" scale="90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18"/>
  <sheetViews>
    <sheetView workbookViewId="0">
      <selection activeCell="F21" sqref="F21"/>
    </sheetView>
  </sheetViews>
  <sheetFormatPr baseColWidth="10" defaultColWidth="11.44140625" defaultRowHeight="13.8" x14ac:dyDescent="0.25"/>
  <cols>
    <col min="1" max="1" width="48.88671875" style="5" customWidth="1"/>
    <col min="2" max="2" width="12" style="5" customWidth="1"/>
    <col min="3" max="3" width="13.109375" style="5" bestFit="1" customWidth="1"/>
    <col min="4" max="4" width="11.44140625" style="5" customWidth="1"/>
    <col min="5" max="5" width="6.77734375" style="5" customWidth="1"/>
    <col min="6" max="16384" width="11.44140625" style="5"/>
  </cols>
  <sheetData>
    <row r="6" spans="1:5" x14ac:dyDescent="0.25">
      <c r="A6" s="580" t="s">
        <v>337</v>
      </c>
      <c r="B6" s="577" t="s">
        <v>505</v>
      </c>
      <c r="C6" s="577" t="s">
        <v>506</v>
      </c>
      <c r="D6" s="577" t="s">
        <v>785</v>
      </c>
      <c r="E6" s="577"/>
    </row>
    <row r="7" spans="1:5" x14ac:dyDescent="0.25">
      <c r="A7" s="580"/>
      <c r="B7" s="577"/>
      <c r="C7" s="577"/>
      <c r="D7" s="37" t="s">
        <v>524</v>
      </c>
      <c r="E7" s="38" t="s">
        <v>525</v>
      </c>
    </row>
    <row r="8" spans="1:5" x14ac:dyDescent="0.25">
      <c r="A8" s="16" t="s">
        <v>779</v>
      </c>
      <c r="B8" s="15">
        <v>0</v>
      </c>
      <c r="C8" s="15">
        <v>0</v>
      </c>
      <c r="D8" s="15">
        <f>B8-C8</f>
        <v>0</v>
      </c>
      <c r="E8" s="15">
        <f>IF(C8=0,0,(B8-C8)/C8)*100</f>
        <v>0</v>
      </c>
    </row>
    <row r="9" spans="1:5" x14ac:dyDescent="0.25">
      <c r="A9" s="16" t="s">
        <v>780</v>
      </c>
      <c r="B9" s="15">
        <v>0</v>
      </c>
      <c r="C9" s="15">
        <v>0</v>
      </c>
      <c r="D9" s="15">
        <f t="shared" ref="D9:D15" si="0">B9-C9</f>
        <v>0</v>
      </c>
      <c r="E9" s="15">
        <f t="shared" ref="E9:E15" si="1">IF(C9=0,0,(B9-C9)/C9)*100</f>
        <v>0</v>
      </c>
    </row>
    <row r="10" spans="1:5" x14ac:dyDescent="0.25">
      <c r="A10" s="16" t="s">
        <v>781</v>
      </c>
      <c r="B10" s="15">
        <v>0</v>
      </c>
      <c r="C10" s="15">
        <v>0</v>
      </c>
      <c r="D10" s="15">
        <f t="shared" si="0"/>
        <v>0</v>
      </c>
      <c r="E10" s="15">
        <f t="shared" si="1"/>
        <v>0</v>
      </c>
    </row>
    <row r="11" spans="1:5" x14ac:dyDescent="0.25">
      <c r="A11" s="16" t="s">
        <v>782</v>
      </c>
      <c r="B11" s="15">
        <v>0</v>
      </c>
      <c r="C11" s="15">
        <v>0</v>
      </c>
      <c r="D11" s="15">
        <f t="shared" si="0"/>
        <v>0</v>
      </c>
      <c r="E11" s="15">
        <f t="shared" si="1"/>
        <v>0</v>
      </c>
    </row>
    <row r="12" spans="1:5" x14ac:dyDescent="0.25">
      <c r="A12" s="16" t="s">
        <v>783</v>
      </c>
      <c r="B12" s="15">
        <v>49211943</v>
      </c>
      <c r="C12" s="15">
        <v>40063464</v>
      </c>
      <c r="D12" s="15">
        <f t="shared" si="0"/>
        <v>9148479</v>
      </c>
      <c r="E12" s="15">
        <f t="shared" si="1"/>
        <v>22.834967540500241</v>
      </c>
    </row>
    <row r="13" spans="1:5" x14ac:dyDescent="0.25">
      <c r="A13" s="16" t="s">
        <v>784</v>
      </c>
      <c r="B13" s="15">
        <v>0</v>
      </c>
      <c r="C13" s="15">
        <v>3600</v>
      </c>
      <c r="D13" s="15">
        <f t="shared" si="0"/>
        <v>-3600</v>
      </c>
      <c r="E13" s="15">
        <f t="shared" si="1"/>
        <v>-100</v>
      </c>
    </row>
    <row r="14" spans="1:5" x14ac:dyDescent="0.25">
      <c r="A14" s="16" t="s">
        <v>776</v>
      </c>
      <c r="B14" s="15">
        <v>0</v>
      </c>
      <c r="C14" s="15">
        <v>0</v>
      </c>
      <c r="D14" s="15">
        <f t="shared" si="0"/>
        <v>0</v>
      </c>
      <c r="E14" s="15">
        <f t="shared" si="1"/>
        <v>0</v>
      </c>
    </row>
    <row r="15" spans="1:5" x14ac:dyDescent="0.25">
      <c r="A15" s="75" t="s">
        <v>373</v>
      </c>
      <c r="B15" s="47">
        <f>SUM(B8:B14)</f>
        <v>49211943</v>
      </c>
      <c r="C15" s="47">
        <f t="shared" ref="C15" si="2">SUM(C8:C14)</f>
        <v>40067064</v>
      </c>
      <c r="D15" s="47">
        <f t="shared" si="0"/>
        <v>9144879</v>
      </c>
      <c r="E15" s="47">
        <f t="shared" si="1"/>
        <v>22.823930897457323</v>
      </c>
    </row>
    <row r="16" spans="1:5" x14ac:dyDescent="0.25">
      <c r="A16" s="76"/>
    </row>
    <row r="17" spans="1:1" ht="14.4" x14ac:dyDescent="0.3">
      <c r="A17" s="64" t="s">
        <v>399</v>
      </c>
    </row>
    <row r="18" spans="1:1" x14ac:dyDescent="0.25">
      <c r="A18" s="24" t="s">
        <v>1240</v>
      </c>
    </row>
  </sheetData>
  <mergeCells count="4">
    <mergeCell ref="A6:A7"/>
    <mergeCell ref="B6:B7"/>
    <mergeCell ref="C6:C7"/>
    <mergeCell ref="D6:E6"/>
  </mergeCells>
  <pageMargins left="0.7" right="0.7" top="0.75" bottom="0.75" header="0.3" footer="0.3"/>
  <pageSetup paperSize="9" scale="84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31"/>
  <sheetViews>
    <sheetView topLeftCell="A3" workbookViewId="0">
      <selection activeCell="K18" sqref="K18"/>
    </sheetView>
  </sheetViews>
  <sheetFormatPr baseColWidth="10" defaultColWidth="11.44140625" defaultRowHeight="13.8" x14ac:dyDescent="0.25"/>
  <cols>
    <col min="1" max="1" width="45.5546875" style="5" customWidth="1"/>
    <col min="2" max="3" width="11.44140625" style="5"/>
    <col min="4" max="4" width="10.44140625" style="5" customWidth="1"/>
    <col min="5" max="5" width="6.44140625" style="5" customWidth="1"/>
    <col min="6" max="16384" width="11.44140625" style="5"/>
  </cols>
  <sheetData>
    <row r="6" spans="1:5" x14ac:dyDescent="0.25">
      <c r="A6" s="580" t="s">
        <v>337</v>
      </c>
      <c r="B6" s="577" t="s">
        <v>505</v>
      </c>
      <c r="C6" s="577" t="s">
        <v>506</v>
      </c>
      <c r="D6" s="577" t="s">
        <v>523</v>
      </c>
      <c r="E6" s="577"/>
    </row>
    <row r="7" spans="1:5" x14ac:dyDescent="0.25">
      <c r="A7" s="580"/>
      <c r="B7" s="577"/>
      <c r="C7" s="577"/>
      <c r="D7" s="38" t="s">
        <v>524</v>
      </c>
      <c r="E7" s="38" t="s">
        <v>525</v>
      </c>
    </row>
    <row r="8" spans="1:5" x14ac:dyDescent="0.25">
      <c r="A8" s="16" t="s">
        <v>786</v>
      </c>
      <c r="B8" s="15">
        <v>0</v>
      </c>
      <c r="C8" s="15">
        <v>0</v>
      </c>
      <c r="D8" s="15">
        <f>B8-C8</f>
        <v>0</v>
      </c>
      <c r="E8" s="15">
        <f>IF(C8=0,0,(B8-C8)/C8)*100</f>
        <v>0</v>
      </c>
    </row>
    <row r="9" spans="1:5" x14ac:dyDescent="0.25">
      <c r="A9" s="16" t="s">
        <v>787</v>
      </c>
      <c r="B9" s="15">
        <v>450000</v>
      </c>
      <c r="C9" s="15">
        <v>17767356</v>
      </c>
      <c r="D9" s="15">
        <f t="shared" ref="D9:D25" si="0">B9-C9</f>
        <v>-17317356</v>
      </c>
      <c r="E9" s="15">
        <f t="shared" ref="E9:E25" si="1">IF(C9=0,0,(B9-C9)/C9)*100</f>
        <v>-97.467265247569756</v>
      </c>
    </row>
    <row r="10" spans="1:5" x14ac:dyDescent="0.25">
      <c r="A10" s="16" t="s">
        <v>788</v>
      </c>
      <c r="B10" s="15">
        <v>0</v>
      </c>
      <c r="C10" s="15">
        <v>0</v>
      </c>
      <c r="D10" s="15">
        <f t="shared" si="0"/>
        <v>0</v>
      </c>
      <c r="E10" s="15">
        <f t="shared" si="1"/>
        <v>0</v>
      </c>
    </row>
    <row r="11" spans="1:5" x14ac:dyDescent="0.25">
      <c r="A11" s="16" t="s">
        <v>789</v>
      </c>
      <c r="B11" s="15">
        <v>0</v>
      </c>
      <c r="C11" s="15">
        <v>0</v>
      </c>
      <c r="D11" s="15">
        <f t="shared" si="0"/>
        <v>0</v>
      </c>
      <c r="E11" s="15">
        <f t="shared" si="1"/>
        <v>0</v>
      </c>
    </row>
    <row r="12" spans="1:5" x14ac:dyDescent="0.25">
      <c r="A12" s="16" t="s">
        <v>790</v>
      </c>
      <c r="B12" s="15">
        <v>0</v>
      </c>
      <c r="C12" s="15">
        <v>0</v>
      </c>
      <c r="D12" s="15">
        <f t="shared" si="0"/>
        <v>0</v>
      </c>
      <c r="E12" s="15">
        <f t="shared" si="1"/>
        <v>0</v>
      </c>
    </row>
    <row r="13" spans="1:5" x14ac:dyDescent="0.25">
      <c r="A13" s="16" t="s">
        <v>791</v>
      </c>
      <c r="B13" s="15">
        <v>0</v>
      </c>
      <c r="C13" s="15">
        <v>0</v>
      </c>
      <c r="D13" s="15">
        <f t="shared" si="0"/>
        <v>0</v>
      </c>
      <c r="E13" s="15">
        <f t="shared" si="1"/>
        <v>0</v>
      </c>
    </row>
    <row r="14" spans="1:5" x14ac:dyDescent="0.25">
      <c r="A14" s="16" t="s">
        <v>792</v>
      </c>
      <c r="B14" s="15">
        <v>710000</v>
      </c>
      <c r="C14" s="15">
        <v>8533784</v>
      </c>
      <c r="D14" s="15">
        <f t="shared" si="0"/>
        <v>-7823784</v>
      </c>
      <c r="E14" s="15">
        <f t="shared" si="1"/>
        <v>-91.68012689329845</v>
      </c>
    </row>
    <row r="15" spans="1:5" x14ac:dyDescent="0.25">
      <c r="A15" s="16" t="s">
        <v>793</v>
      </c>
      <c r="B15" s="15">
        <v>0</v>
      </c>
      <c r="C15" s="15">
        <v>0</v>
      </c>
      <c r="D15" s="15">
        <f t="shared" si="0"/>
        <v>0</v>
      </c>
      <c r="E15" s="15">
        <f t="shared" si="1"/>
        <v>0</v>
      </c>
    </row>
    <row r="16" spans="1:5" x14ac:dyDescent="0.25">
      <c r="A16" s="16" t="s">
        <v>794</v>
      </c>
      <c r="B16" s="15">
        <v>264623</v>
      </c>
      <c r="C16" s="15">
        <v>108478</v>
      </c>
      <c r="D16" s="15">
        <f t="shared" si="0"/>
        <v>156145</v>
      </c>
      <c r="E16" s="15">
        <f t="shared" si="1"/>
        <v>143.9416287173436</v>
      </c>
    </row>
    <row r="17" spans="1:5" x14ac:dyDescent="0.25">
      <c r="A17" s="16" t="s">
        <v>795</v>
      </c>
      <c r="B17" s="15">
        <v>33651899</v>
      </c>
      <c r="C17" s="15">
        <v>4826500</v>
      </c>
      <c r="D17" s="15">
        <f t="shared" si="0"/>
        <v>28825399</v>
      </c>
      <c r="E17" s="15">
        <f t="shared" si="1"/>
        <v>597.23192789806274</v>
      </c>
    </row>
    <row r="18" spans="1:5" x14ac:dyDescent="0.25">
      <c r="A18" s="16" t="s">
        <v>796</v>
      </c>
      <c r="B18" s="15">
        <v>0</v>
      </c>
      <c r="C18" s="15">
        <v>0</v>
      </c>
      <c r="D18" s="15">
        <f t="shared" si="0"/>
        <v>0</v>
      </c>
      <c r="E18" s="15">
        <f t="shared" si="1"/>
        <v>0</v>
      </c>
    </row>
    <row r="19" spans="1:5" ht="27.6" x14ac:dyDescent="0.25">
      <c r="A19" s="16" t="s">
        <v>797</v>
      </c>
      <c r="B19" s="15">
        <v>165001</v>
      </c>
      <c r="C19" s="15">
        <v>0</v>
      </c>
      <c r="D19" s="15">
        <f t="shared" si="0"/>
        <v>165001</v>
      </c>
      <c r="E19" s="15">
        <f t="shared" si="1"/>
        <v>0</v>
      </c>
    </row>
    <row r="20" spans="1:5" x14ac:dyDescent="0.25">
      <c r="A20" s="16" t="s">
        <v>798</v>
      </c>
      <c r="B20" s="15">
        <v>0</v>
      </c>
      <c r="C20" s="15">
        <v>0</v>
      </c>
      <c r="D20" s="15">
        <f t="shared" si="0"/>
        <v>0</v>
      </c>
      <c r="E20" s="15">
        <f t="shared" si="1"/>
        <v>0</v>
      </c>
    </row>
    <row r="21" spans="1:5" x14ac:dyDescent="0.25">
      <c r="A21" s="16" t="s">
        <v>799</v>
      </c>
      <c r="B21" s="15">
        <v>0</v>
      </c>
      <c r="C21" s="15">
        <v>0</v>
      </c>
      <c r="D21" s="15">
        <f t="shared" si="0"/>
        <v>0</v>
      </c>
      <c r="E21" s="15">
        <f t="shared" si="1"/>
        <v>0</v>
      </c>
    </row>
    <row r="22" spans="1:5" x14ac:dyDescent="0.25">
      <c r="A22" s="16" t="s">
        <v>800</v>
      </c>
      <c r="B22" s="15">
        <v>0</v>
      </c>
      <c r="C22" s="15">
        <v>0</v>
      </c>
      <c r="D22" s="15">
        <f t="shared" si="0"/>
        <v>0</v>
      </c>
      <c r="E22" s="15">
        <f t="shared" si="1"/>
        <v>0</v>
      </c>
    </row>
    <row r="23" spans="1:5" x14ac:dyDescent="0.25">
      <c r="A23" s="16" t="s">
        <v>801</v>
      </c>
      <c r="B23" s="15">
        <v>0</v>
      </c>
      <c r="C23" s="15">
        <v>22817000</v>
      </c>
      <c r="D23" s="15">
        <f t="shared" si="0"/>
        <v>-22817000</v>
      </c>
      <c r="E23" s="15">
        <f t="shared" si="1"/>
        <v>-100</v>
      </c>
    </row>
    <row r="24" spans="1:5" x14ac:dyDescent="0.25">
      <c r="A24" s="16"/>
      <c r="B24" s="15"/>
      <c r="C24" s="15"/>
      <c r="D24" s="15">
        <f t="shared" si="0"/>
        <v>0</v>
      </c>
      <c r="E24" s="15">
        <f t="shared" si="1"/>
        <v>0</v>
      </c>
    </row>
    <row r="25" spans="1:5" x14ac:dyDescent="0.25">
      <c r="A25" s="31" t="s">
        <v>373</v>
      </c>
      <c r="B25" s="47">
        <f>SUM(B8:B24)</f>
        <v>35241523</v>
      </c>
      <c r="C25" s="47">
        <f t="shared" ref="C25" si="2">SUM(C8:C24)</f>
        <v>54053118</v>
      </c>
      <c r="D25" s="47">
        <f t="shared" si="0"/>
        <v>-18811595</v>
      </c>
      <c r="E25" s="47">
        <f t="shared" si="1"/>
        <v>-34.802053417159023</v>
      </c>
    </row>
    <row r="27" spans="1:5" ht="14.4" x14ac:dyDescent="0.3">
      <c r="A27" s="64" t="s">
        <v>399</v>
      </c>
      <c r="B27" s="77"/>
      <c r="C27"/>
      <c r="D27"/>
      <c r="E27"/>
    </row>
    <row r="28" spans="1:5" ht="1.2" customHeight="1" x14ac:dyDescent="0.3">
      <c r="A28" s="1"/>
      <c r="B28"/>
      <c r="C28"/>
      <c r="D28"/>
      <c r="E28"/>
    </row>
    <row r="29" spans="1:5" ht="35.700000000000003" customHeight="1" x14ac:dyDescent="0.25">
      <c r="A29" s="588" t="s">
        <v>1233</v>
      </c>
      <c r="B29" s="588"/>
      <c r="C29" s="588"/>
      <c r="D29" s="588"/>
      <c r="E29" s="588"/>
    </row>
    <row r="30" spans="1:5" ht="14.4" x14ac:dyDescent="0.3">
      <c r="A30" s="78"/>
      <c r="B30" s="78"/>
      <c r="C30" s="78"/>
      <c r="D30"/>
      <c r="E30"/>
    </row>
    <row r="31" spans="1:5" ht="14.4" x14ac:dyDescent="0.3">
      <c r="A31" s="1"/>
      <c r="B31"/>
      <c r="C31"/>
      <c r="D31"/>
      <c r="E31"/>
    </row>
  </sheetData>
  <mergeCells count="5">
    <mergeCell ref="A6:A7"/>
    <mergeCell ref="B6:B7"/>
    <mergeCell ref="C6:C7"/>
    <mergeCell ref="D6:E6"/>
    <mergeCell ref="A29:E29"/>
  </mergeCells>
  <pageMargins left="0.7" right="0.7" top="0.75" bottom="0.75" header="0.3" footer="0.3"/>
  <pageSetup paperSize="9" scale="90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19"/>
  <sheetViews>
    <sheetView workbookViewId="0">
      <selection activeCell="B8" sqref="B8"/>
    </sheetView>
  </sheetViews>
  <sheetFormatPr baseColWidth="10" defaultColWidth="11.44140625" defaultRowHeight="13.8" x14ac:dyDescent="0.25"/>
  <cols>
    <col min="1" max="1" width="42.88671875" style="5" customWidth="1"/>
    <col min="2" max="16384" width="11.44140625" style="5"/>
  </cols>
  <sheetData>
    <row r="5" spans="1:5" ht="14.4" thickBot="1" x14ac:dyDescent="0.3"/>
    <row r="6" spans="1:5" ht="14.4" thickBot="1" x14ac:dyDescent="0.3">
      <c r="A6" s="589" t="s">
        <v>337</v>
      </c>
      <c r="B6" s="591" t="s">
        <v>505</v>
      </c>
      <c r="C6" s="591" t="s">
        <v>506</v>
      </c>
      <c r="D6" s="593" t="s">
        <v>523</v>
      </c>
      <c r="E6" s="594"/>
    </row>
    <row r="7" spans="1:5" ht="14.4" thickBot="1" x14ac:dyDescent="0.3">
      <c r="A7" s="590"/>
      <c r="B7" s="592"/>
      <c r="C7" s="592"/>
      <c r="D7" s="82" t="s">
        <v>524</v>
      </c>
      <c r="E7" s="82" t="s">
        <v>525</v>
      </c>
    </row>
    <row r="8" spans="1:5" ht="14.4" thickBot="1" x14ac:dyDescent="0.3">
      <c r="A8" s="79" t="s">
        <v>802</v>
      </c>
      <c r="B8" s="80">
        <v>0</v>
      </c>
      <c r="C8" s="80">
        <v>0</v>
      </c>
      <c r="D8" s="80">
        <f>B8-C8</f>
        <v>0</v>
      </c>
      <c r="E8" s="80">
        <f>IF(C8=0,0,(B8-C8)/C8)*100</f>
        <v>0</v>
      </c>
    </row>
    <row r="9" spans="1:5" ht="14.4" thickBot="1" x14ac:dyDescent="0.3">
      <c r="A9" s="79" t="s">
        <v>803</v>
      </c>
      <c r="B9" s="80">
        <v>0</v>
      </c>
      <c r="C9" s="80">
        <v>0</v>
      </c>
      <c r="D9" s="80">
        <f t="shared" ref="D9:D14" si="0">B9-C9</f>
        <v>0</v>
      </c>
      <c r="E9" s="80">
        <f t="shared" ref="E9:E14" si="1">IF(C9=0,0,(B9-C9)/C9)*100</f>
        <v>0</v>
      </c>
    </row>
    <row r="10" spans="1:5" ht="14.4" thickBot="1" x14ac:dyDescent="0.3">
      <c r="A10" s="79" t="s">
        <v>804</v>
      </c>
      <c r="B10" s="80">
        <v>0</v>
      </c>
      <c r="C10" s="80">
        <v>132300</v>
      </c>
      <c r="D10" s="80">
        <f t="shared" si="0"/>
        <v>-132300</v>
      </c>
      <c r="E10" s="80">
        <f t="shared" si="1"/>
        <v>-100</v>
      </c>
    </row>
    <row r="11" spans="1:5" ht="14.4" thickBot="1" x14ac:dyDescent="0.3">
      <c r="A11" s="79" t="s">
        <v>805</v>
      </c>
      <c r="B11" s="80">
        <v>0</v>
      </c>
      <c r="C11" s="80">
        <v>0</v>
      </c>
      <c r="D11" s="80">
        <f t="shared" si="0"/>
        <v>0</v>
      </c>
      <c r="E11" s="80">
        <f t="shared" si="1"/>
        <v>0</v>
      </c>
    </row>
    <row r="12" spans="1:5" ht="14.4" thickBot="1" x14ac:dyDescent="0.3">
      <c r="A12" s="79" t="s">
        <v>806</v>
      </c>
      <c r="B12" s="80">
        <v>0</v>
      </c>
      <c r="C12" s="80">
        <v>0</v>
      </c>
      <c r="D12" s="80">
        <f t="shared" si="0"/>
        <v>0</v>
      </c>
      <c r="E12" s="80">
        <f t="shared" si="1"/>
        <v>0</v>
      </c>
    </row>
    <row r="13" spans="1:5" ht="14.4" thickBot="1" x14ac:dyDescent="0.3">
      <c r="A13" s="79" t="s">
        <v>808</v>
      </c>
      <c r="B13" s="80">
        <v>0</v>
      </c>
      <c r="C13" s="80">
        <v>0</v>
      </c>
      <c r="D13" s="80">
        <f t="shared" si="0"/>
        <v>0</v>
      </c>
      <c r="E13" s="80">
        <f t="shared" si="1"/>
        <v>0</v>
      </c>
    </row>
    <row r="14" spans="1:5" ht="14.4" thickBot="1" x14ac:dyDescent="0.3">
      <c r="A14" s="81" t="s">
        <v>373</v>
      </c>
      <c r="B14" s="349">
        <f>SUM(B8:B13)</f>
        <v>0</v>
      </c>
      <c r="C14" s="349">
        <f t="shared" ref="C14" si="2">SUM(C8:C13)</f>
        <v>132300</v>
      </c>
      <c r="D14" s="349">
        <f t="shared" si="0"/>
        <v>-132300</v>
      </c>
      <c r="E14" s="349">
        <f t="shared" si="1"/>
        <v>-100</v>
      </c>
    </row>
    <row r="16" spans="1:5" ht="15" customHeight="1" x14ac:dyDescent="0.25">
      <c r="A16" s="595" t="s">
        <v>807</v>
      </c>
      <c r="B16" s="595"/>
      <c r="C16" s="595"/>
      <c r="D16" s="595"/>
      <c r="E16" s="595"/>
    </row>
    <row r="17" spans="1:5" ht="14.4" x14ac:dyDescent="0.3">
      <c r="A17" s="23" t="s">
        <v>399</v>
      </c>
    </row>
    <row r="18" spans="1:5" x14ac:dyDescent="0.25">
      <c r="A18" s="528" t="s">
        <v>809</v>
      </c>
      <c r="B18" s="528"/>
      <c r="C18" s="528"/>
      <c r="D18" s="528"/>
      <c r="E18" s="528"/>
    </row>
    <row r="19" spans="1:5" x14ac:dyDescent="0.25">
      <c r="A19" s="528" t="s">
        <v>810</v>
      </c>
      <c r="B19" s="528"/>
      <c r="C19" s="528"/>
      <c r="D19" s="528"/>
      <c r="E19" s="528"/>
    </row>
  </sheetData>
  <mergeCells count="7">
    <mergeCell ref="A18:E18"/>
    <mergeCell ref="A19:E19"/>
    <mergeCell ref="A6:A7"/>
    <mergeCell ref="B6:B7"/>
    <mergeCell ref="C6:C7"/>
    <mergeCell ref="D6:E6"/>
    <mergeCell ref="A16:E16"/>
  </mergeCells>
  <pageMargins left="0.7" right="0.7" top="0.75" bottom="0.75" header="0.3" footer="0.3"/>
  <pageSetup paperSize="9" scale="87" orientation="portrait" r:id="rId1"/>
  <colBreaks count="1" manualBreakCount="1">
    <brk id="6" max="1048575" man="1"/>
  </colBrea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22"/>
  <sheetViews>
    <sheetView workbookViewId="0">
      <selection activeCell="A28" sqref="A28"/>
    </sheetView>
  </sheetViews>
  <sheetFormatPr baseColWidth="10" defaultColWidth="50.21875" defaultRowHeight="13.8" x14ac:dyDescent="0.25"/>
  <cols>
    <col min="1" max="1" width="50.21875" style="5"/>
    <col min="2" max="2" width="7.88671875" style="5" customWidth="1"/>
    <col min="3" max="3" width="7.77734375" style="5" customWidth="1"/>
    <col min="4" max="4" width="8.77734375" style="5" customWidth="1"/>
    <col min="5" max="5" width="5.77734375" style="5" customWidth="1"/>
    <col min="6" max="6" width="14.88671875" style="5" customWidth="1"/>
    <col min="7" max="7" width="10" style="5" customWidth="1"/>
    <col min="8" max="8" width="11" style="5" customWidth="1"/>
    <col min="9" max="16384" width="50.21875" style="5"/>
  </cols>
  <sheetData>
    <row r="6" spans="1:5" x14ac:dyDescent="0.25">
      <c r="A6" s="585" t="s">
        <v>337</v>
      </c>
      <c r="B6" s="585" t="s">
        <v>505</v>
      </c>
      <c r="C6" s="585" t="s">
        <v>506</v>
      </c>
      <c r="D6" s="585" t="s">
        <v>523</v>
      </c>
      <c r="E6" s="585"/>
    </row>
    <row r="7" spans="1:5" x14ac:dyDescent="0.25">
      <c r="A7" s="585"/>
      <c r="B7" s="585"/>
      <c r="C7" s="585"/>
      <c r="D7" s="59" t="s">
        <v>524</v>
      </c>
      <c r="E7" s="59" t="s">
        <v>525</v>
      </c>
    </row>
    <row r="8" spans="1:5" x14ac:dyDescent="0.25">
      <c r="A8" s="83" t="s">
        <v>811</v>
      </c>
      <c r="B8" s="16">
        <v>0</v>
      </c>
      <c r="C8" s="16">
        <v>0</v>
      </c>
      <c r="D8" s="16">
        <f>B8-C8</f>
        <v>0</v>
      </c>
      <c r="E8" s="16">
        <f>IF(C8=0,0,(B8-C8)/C8)*100</f>
        <v>0</v>
      </c>
    </row>
    <row r="9" spans="1:5" x14ac:dyDescent="0.25">
      <c r="A9" s="83" t="s">
        <v>812</v>
      </c>
      <c r="B9" s="83">
        <v>0</v>
      </c>
      <c r="C9" s="16">
        <v>0</v>
      </c>
      <c r="D9" s="16">
        <f t="shared" ref="D9:D16" si="0">B9-C9</f>
        <v>0</v>
      </c>
      <c r="E9" s="16">
        <f t="shared" ref="E9:E16" si="1">IF(C9=0,0,(B9-C9)/C9)*100</f>
        <v>0</v>
      </c>
    </row>
    <row r="10" spans="1:5" x14ac:dyDescent="0.25">
      <c r="A10" s="83" t="s">
        <v>813</v>
      </c>
      <c r="B10" s="16">
        <v>762500</v>
      </c>
      <c r="C10" s="16">
        <v>0</v>
      </c>
      <c r="D10" s="16">
        <f t="shared" si="0"/>
        <v>762500</v>
      </c>
      <c r="E10" s="16">
        <f t="shared" si="1"/>
        <v>0</v>
      </c>
    </row>
    <row r="11" spans="1:5" x14ac:dyDescent="0.25">
      <c r="A11" s="83" t="s">
        <v>814</v>
      </c>
      <c r="B11" s="16">
        <v>0</v>
      </c>
      <c r="C11" s="16">
        <v>3160680</v>
      </c>
      <c r="D11" s="16">
        <f t="shared" si="0"/>
        <v>-3160680</v>
      </c>
      <c r="E11" s="16">
        <f t="shared" si="1"/>
        <v>-100</v>
      </c>
    </row>
    <row r="12" spans="1:5" x14ac:dyDescent="0.25">
      <c r="A12" s="83" t="s">
        <v>815</v>
      </c>
      <c r="B12" s="16">
        <v>0</v>
      </c>
      <c r="C12" s="16">
        <v>0</v>
      </c>
      <c r="D12" s="16">
        <f t="shared" si="0"/>
        <v>0</v>
      </c>
      <c r="E12" s="16">
        <f t="shared" si="1"/>
        <v>0</v>
      </c>
    </row>
    <row r="13" spans="1:5" x14ac:dyDescent="0.25">
      <c r="A13" s="83" t="s">
        <v>816</v>
      </c>
      <c r="B13" s="16">
        <v>0</v>
      </c>
      <c r="C13" s="16">
        <v>0</v>
      </c>
      <c r="D13" s="16">
        <f t="shared" si="0"/>
        <v>0</v>
      </c>
      <c r="E13" s="16">
        <f t="shared" si="1"/>
        <v>0</v>
      </c>
    </row>
    <row r="14" spans="1:5" ht="27.6" x14ac:dyDescent="0.25">
      <c r="A14" s="83" t="s">
        <v>817</v>
      </c>
      <c r="B14" s="83">
        <v>0</v>
      </c>
      <c r="C14" s="83">
        <v>0</v>
      </c>
      <c r="D14" s="83">
        <f t="shared" si="0"/>
        <v>0</v>
      </c>
      <c r="E14" s="83">
        <f t="shared" si="1"/>
        <v>0</v>
      </c>
    </row>
    <row r="15" spans="1:5" x14ac:dyDescent="0.25">
      <c r="A15" s="16"/>
      <c r="B15" s="16"/>
      <c r="C15" s="16"/>
      <c r="D15" s="16">
        <f t="shared" si="0"/>
        <v>0</v>
      </c>
      <c r="E15" s="16">
        <f t="shared" si="1"/>
        <v>0</v>
      </c>
    </row>
    <row r="16" spans="1:5" x14ac:dyDescent="0.25">
      <c r="A16" s="84" t="s">
        <v>373</v>
      </c>
      <c r="B16" s="47">
        <f>SUM(B8:B14)</f>
        <v>762500</v>
      </c>
      <c r="C16" s="47">
        <f t="shared" ref="C16" si="2">SUM(C8:C14)</f>
        <v>3160680</v>
      </c>
      <c r="D16" s="47">
        <f t="shared" si="0"/>
        <v>-2398180</v>
      </c>
      <c r="E16" s="47">
        <f t="shared" si="1"/>
        <v>-75.875444524595963</v>
      </c>
    </row>
    <row r="17" spans="1:5" x14ac:dyDescent="0.25">
      <c r="A17" s="76"/>
    </row>
    <row r="18" spans="1:5" x14ac:dyDescent="0.25">
      <c r="A18" s="85" t="s">
        <v>818</v>
      </c>
    </row>
    <row r="19" spans="1:5" x14ac:dyDescent="0.25">
      <c r="A19" s="73"/>
    </row>
    <row r="20" spans="1:5" x14ac:dyDescent="0.25">
      <c r="A20" s="596" t="s">
        <v>1234</v>
      </c>
      <c r="B20" s="596"/>
      <c r="C20" s="596"/>
      <c r="D20" s="596"/>
      <c r="E20" s="596"/>
    </row>
    <row r="21" spans="1:5" x14ac:dyDescent="0.25">
      <c r="A21" s="597" t="s">
        <v>405</v>
      </c>
      <c r="B21" s="597"/>
      <c r="C21" s="597"/>
      <c r="D21" s="597"/>
      <c r="E21" s="597"/>
    </row>
    <row r="22" spans="1:5" x14ac:dyDescent="0.25">
      <c r="A22" s="596" t="s">
        <v>405</v>
      </c>
      <c r="B22" s="596"/>
      <c r="C22" s="596"/>
      <c r="D22" s="596"/>
      <c r="E22" s="596"/>
    </row>
  </sheetData>
  <mergeCells count="7">
    <mergeCell ref="A22:E22"/>
    <mergeCell ref="A6:A7"/>
    <mergeCell ref="B6:B7"/>
    <mergeCell ref="C6:C7"/>
    <mergeCell ref="D6:E6"/>
    <mergeCell ref="A21:E21"/>
    <mergeCell ref="A20:E20"/>
  </mergeCells>
  <pageMargins left="0.7" right="0.7" top="0.75" bottom="0.75" header="0.3" footer="0.3"/>
  <pageSetup paperSize="9" scale="92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23"/>
  <sheetViews>
    <sheetView workbookViewId="0">
      <selection activeCell="D1" sqref="D1"/>
    </sheetView>
  </sheetViews>
  <sheetFormatPr baseColWidth="10" defaultColWidth="11.44140625" defaultRowHeight="13.8" x14ac:dyDescent="0.25"/>
  <cols>
    <col min="1" max="1" width="45" style="5" customWidth="1"/>
    <col min="2" max="16384" width="11.44140625" style="5"/>
  </cols>
  <sheetData>
    <row r="6" spans="1:5" x14ac:dyDescent="0.25">
      <c r="A6" s="583" t="s">
        <v>337</v>
      </c>
      <c r="B6" s="585" t="s">
        <v>505</v>
      </c>
      <c r="C6" s="585" t="s">
        <v>506</v>
      </c>
      <c r="D6" s="585" t="s">
        <v>523</v>
      </c>
      <c r="E6" s="585"/>
    </row>
    <row r="7" spans="1:5" x14ac:dyDescent="0.25">
      <c r="A7" s="584"/>
      <c r="B7" s="585"/>
      <c r="C7" s="585"/>
      <c r="D7" s="59" t="s">
        <v>524</v>
      </c>
      <c r="E7" s="59" t="s">
        <v>525</v>
      </c>
    </row>
    <row r="8" spans="1:5" x14ac:dyDescent="0.25">
      <c r="A8" s="89" t="s">
        <v>828</v>
      </c>
      <c r="B8" s="88">
        <v>0</v>
      </c>
      <c r="C8" s="88">
        <v>0</v>
      </c>
      <c r="D8" s="88">
        <f>B8-C8</f>
        <v>0</v>
      </c>
      <c r="E8" s="88">
        <f>IF(C8=0,0,(B8-C8)/C8)*100</f>
        <v>0</v>
      </c>
    </row>
    <row r="9" spans="1:5" ht="27.6" x14ac:dyDescent="0.25">
      <c r="A9" s="83" t="s">
        <v>819</v>
      </c>
      <c r="B9" s="86">
        <v>0</v>
      </c>
      <c r="C9" s="15">
        <v>0</v>
      </c>
      <c r="D9" s="88">
        <f t="shared" ref="D9:D17" si="0">B9-C9</f>
        <v>0</v>
      </c>
      <c r="E9" s="88">
        <f t="shared" ref="E9:E17" si="1">IF(C9=0,0,(B9-C9)/C9)*100</f>
        <v>0</v>
      </c>
    </row>
    <row r="10" spans="1:5" x14ac:dyDescent="0.25">
      <c r="A10" s="83" t="s">
        <v>820</v>
      </c>
      <c r="B10" s="86">
        <v>0</v>
      </c>
      <c r="C10" s="15">
        <v>0</v>
      </c>
      <c r="D10" s="88">
        <f t="shared" si="0"/>
        <v>0</v>
      </c>
      <c r="E10" s="88">
        <f t="shared" si="1"/>
        <v>0</v>
      </c>
    </row>
    <row r="11" spans="1:5" x14ac:dyDescent="0.25">
      <c r="A11" s="83" t="s">
        <v>821</v>
      </c>
      <c r="B11" s="86">
        <v>0</v>
      </c>
      <c r="C11" s="15">
        <v>0</v>
      </c>
      <c r="D11" s="88">
        <f t="shared" si="0"/>
        <v>0</v>
      </c>
      <c r="E11" s="88">
        <f t="shared" si="1"/>
        <v>0</v>
      </c>
    </row>
    <row r="12" spans="1:5" x14ac:dyDescent="0.25">
      <c r="A12" s="83" t="s">
        <v>822</v>
      </c>
      <c r="B12" s="86">
        <v>0</v>
      </c>
      <c r="C12" s="15">
        <v>0</v>
      </c>
      <c r="D12" s="88">
        <f t="shared" si="0"/>
        <v>0</v>
      </c>
      <c r="E12" s="88">
        <f t="shared" si="1"/>
        <v>0</v>
      </c>
    </row>
    <row r="13" spans="1:5" x14ac:dyDescent="0.25">
      <c r="A13" s="83" t="s">
        <v>823</v>
      </c>
      <c r="B13" s="86">
        <v>0</v>
      </c>
      <c r="C13" s="15">
        <v>0</v>
      </c>
      <c r="D13" s="88">
        <f t="shared" si="0"/>
        <v>0</v>
      </c>
      <c r="E13" s="88">
        <f t="shared" si="1"/>
        <v>0</v>
      </c>
    </row>
    <row r="14" spans="1:5" x14ac:dyDescent="0.25">
      <c r="A14" s="83" t="s">
        <v>824</v>
      </c>
      <c r="B14" s="86">
        <v>0</v>
      </c>
      <c r="C14" s="15">
        <v>0</v>
      </c>
      <c r="D14" s="88">
        <f t="shared" si="0"/>
        <v>0</v>
      </c>
      <c r="E14" s="88">
        <f t="shared" si="1"/>
        <v>0</v>
      </c>
    </row>
    <row r="15" spans="1:5" x14ac:dyDescent="0.25">
      <c r="A15" s="83" t="s">
        <v>825</v>
      </c>
      <c r="B15" s="86">
        <v>0</v>
      </c>
      <c r="C15" s="15">
        <v>0</v>
      </c>
      <c r="D15" s="88">
        <f t="shared" si="0"/>
        <v>0</v>
      </c>
      <c r="E15" s="88">
        <f t="shared" si="1"/>
        <v>0</v>
      </c>
    </row>
    <row r="16" spans="1:5" ht="24.75" customHeight="1" x14ac:dyDescent="0.25">
      <c r="A16" s="83" t="s">
        <v>827</v>
      </c>
      <c r="B16" s="86">
        <v>0</v>
      </c>
      <c r="C16" s="15">
        <v>0</v>
      </c>
      <c r="D16" s="88">
        <f t="shared" si="0"/>
        <v>0</v>
      </c>
      <c r="E16" s="88">
        <f t="shared" si="1"/>
        <v>0</v>
      </c>
    </row>
    <row r="17" spans="1:10" x14ac:dyDescent="0.25">
      <c r="A17" s="84" t="s">
        <v>373</v>
      </c>
      <c r="B17" s="90">
        <f>SUM(B8:B16)</f>
        <v>0</v>
      </c>
      <c r="C17" s="90">
        <f t="shared" ref="C17" si="2">SUM(C8:C16)</f>
        <v>0</v>
      </c>
      <c r="D17" s="350">
        <f t="shared" si="0"/>
        <v>0</v>
      </c>
      <c r="E17" s="350">
        <f t="shared" si="1"/>
        <v>0</v>
      </c>
      <c r="F17" s="87"/>
    </row>
    <row r="18" spans="1:10" x14ac:dyDescent="0.25">
      <c r="A18" s="3"/>
      <c r="B18" s="3"/>
    </row>
    <row r="19" spans="1:10" x14ac:dyDescent="0.25">
      <c r="A19" s="599" t="s">
        <v>826</v>
      </c>
      <c r="B19" s="599"/>
      <c r="C19" s="599"/>
      <c r="D19" s="599"/>
      <c r="E19" s="599"/>
    </row>
    <row r="20" spans="1:10" x14ac:dyDescent="0.25">
      <c r="A20" s="3"/>
      <c r="B20" s="565"/>
      <c r="C20" s="565"/>
      <c r="D20" s="565"/>
      <c r="E20" s="565"/>
      <c r="F20" s="3"/>
      <c r="G20" s="3"/>
      <c r="H20" s="3"/>
      <c r="I20" s="574"/>
      <c r="J20" s="574"/>
    </row>
    <row r="21" spans="1:10" x14ac:dyDescent="0.25">
      <c r="A21" s="561" t="s">
        <v>818</v>
      </c>
      <c r="B21" s="561"/>
      <c r="C21" s="492"/>
      <c r="D21" s="492"/>
      <c r="E21" s="492"/>
      <c r="F21" s="492"/>
      <c r="G21" s="535"/>
      <c r="H21" s="535"/>
      <c r="I21" s="535"/>
    </row>
    <row r="22" spans="1:10" x14ac:dyDescent="0.25">
      <c r="A22" s="598" t="s">
        <v>830</v>
      </c>
      <c r="B22" s="598"/>
      <c r="C22" s="598"/>
      <c r="D22" s="598"/>
      <c r="E22" s="598"/>
      <c r="F22" s="24"/>
    </row>
    <row r="23" spans="1:10" x14ac:dyDescent="0.25">
      <c r="A23" s="598" t="s">
        <v>829</v>
      </c>
      <c r="B23" s="598"/>
      <c r="C23" s="598"/>
      <c r="D23" s="598"/>
      <c r="E23" s="598"/>
      <c r="F23" s="24"/>
    </row>
  </sheetData>
  <mergeCells count="14">
    <mergeCell ref="I20:J20"/>
    <mergeCell ref="A19:E19"/>
    <mergeCell ref="A21:B21"/>
    <mergeCell ref="C21:D21"/>
    <mergeCell ref="E21:F21"/>
    <mergeCell ref="G21:I21"/>
    <mergeCell ref="A6:A7"/>
    <mergeCell ref="B6:B7"/>
    <mergeCell ref="C6:C7"/>
    <mergeCell ref="D6:E6"/>
    <mergeCell ref="A23:E23"/>
    <mergeCell ref="B20:C20"/>
    <mergeCell ref="D20:E20"/>
    <mergeCell ref="A22:E22"/>
  </mergeCells>
  <pageMargins left="0.7" right="0.7" top="0.75" bottom="0.75" header="0.3" footer="0.3"/>
  <pageSetup paperSize="9" scale="85" orientation="portrait" r:id="rId1"/>
  <colBreaks count="1" manualBreakCount="1">
    <brk id="6" max="1048575" man="1"/>
  </colBrea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P34"/>
  <sheetViews>
    <sheetView topLeftCell="A10" workbookViewId="0">
      <selection activeCell="D36" sqref="D36"/>
    </sheetView>
  </sheetViews>
  <sheetFormatPr baseColWidth="10" defaultColWidth="11.44140625" defaultRowHeight="13.8" x14ac:dyDescent="0.25"/>
  <cols>
    <col min="1" max="1" width="4.44140625" style="91" customWidth="1"/>
    <col min="2" max="2" width="42.21875" style="5" customWidth="1"/>
    <col min="3" max="3" width="5.21875" style="5" customWidth="1"/>
    <col min="4" max="4" width="5.109375" style="5" customWidth="1"/>
    <col min="5" max="5" width="5.44140625" style="5" customWidth="1"/>
    <col min="6" max="6" width="3.21875" style="5" customWidth="1"/>
    <col min="7" max="7" width="5.44140625" style="5" customWidth="1"/>
    <col min="8" max="8" width="3.21875" style="5" customWidth="1"/>
    <col min="9" max="9" width="9.21875" style="5" customWidth="1"/>
    <col min="10" max="10" width="17.77734375" style="5" customWidth="1"/>
    <col min="11" max="11" width="5.109375" style="5" customWidth="1"/>
    <col min="12" max="12" width="5.88671875" style="5" customWidth="1"/>
    <col min="13" max="13" width="5.77734375" style="5" customWidth="1"/>
    <col min="14" max="14" width="11.44140625" style="5"/>
    <col min="15" max="15" width="4.21875" style="5" customWidth="1"/>
    <col min="16" max="16" width="8.88671875" style="5" customWidth="1"/>
    <col min="17" max="16384" width="11.44140625" style="5"/>
  </cols>
  <sheetData>
    <row r="6" spans="1:16" x14ac:dyDescent="0.25">
      <c r="B6" s="97" t="s">
        <v>831</v>
      </c>
    </row>
    <row r="7" spans="1:16" ht="15" customHeight="1" x14ac:dyDescent="0.25">
      <c r="A7" s="605"/>
      <c r="B7" s="613" t="s">
        <v>866</v>
      </c>
      <c r="C7" s="606" t="s">
        <v>832</v>
      </c>
      <c r="D7" s="607"/>
      <c r="E7" s="607"/>
      <c r="F7" s="607"/>
      <c r="G7" s="607"/>
      <c r="H7" s="607"/>
      <c r="I7" s="608"/>
      <c r="J7" s="612" t="s">
        <v>833</v>
      </c>
      <c r="K7" s="587"/>
      <c r="L7" s="587"/>
      <c r="M7" s="587"/>
      <c r="N7" s="587"/>
      <c r="O7" s="587"/>
      <c r="P7" s="587"/>
    </row>
    <row r="8" spans="1:16" x14ac:dyDescent="0.25">
      <c r="A8" s="605"/>
      <c r="B8" s="614"/>
      <c r="C8" s="609"/>
      <c r="D8" s="610"/>
      <c r="E8" s="610"/>
      <c r="F8" s="610"/>
      <c r="G8" s="610"/>
      <c r="H8" s="610"/>
      <c r="I8" s="611"/>
      <c r="J8" s="612"/>
      <c r="K8" s="587"/>
      <c r="L8" s="587"/>
      <c r="M8" s="587"/>
      <c r="N8" s="587"/>
      <c r="O8" s="587"/>
      <c r="P8" s="587"/>
    </row>
    <row r="9" spans="1:16" ht="57" customHeight="1" x14ac:dyDescent="0.25">
      <c r="A9" s="605"/>
      <c r="B9" s="615" t="s">
        <v>865</v>
      </c>
      <c r="C9" s="587" t="s">
        <v>834</v>
      </c>
      <c r="D9" s="587"/>
      <c r="E9" s="585" t="s">
        <v>835</v>
      </c>
      <c r="F9" s="585"/>
      <c r="G9" s="585" t="s">
        <v>836</v>
      </c>
      <c r="H9" s="585"/>
      <c r="I9" s="95" t="s">
        <v>373</v>
      </c>
      <c r="J9" s="612" t="s">
        <v>834</v>
      </c>
      <c r="K9" s="587"/>
      <c r="L9" s="585" t="s">
        <v>835</v>
      </c>
      <c r="M9" s="585"/>
      <c r="N9" s="587" t="s">
        <v>836</v>
      </c>
      <c r="O9" s="587"/>
      <c r="P9" s="70" t="s">
        <v>373</v>
      </c>
    </row>
    <row r="10" spans="1:16" x14ac:dyDescent="0.25">
      <c r="A10" s="605"/>
      <c r="B10" s="616"/>
      <c r="C10" s="70" t="s">
        <v>837</v>
      </c>
      <c r="D10" s="70" t="s">
        <v>838</v>
      </c>
      <c r="E10" s="70" t="s">
        <v>837</v>
      </c>
      <c r="F10" s="70" t="s">
        <v>838</v>
      </c>
      <c r="G10" s="70" t="s">
        <v>837</v>
      </c>
      <c r="H10" s="70" t="s">
        <v>838</v>
      </c>
      <c r="I10" s="95"/>
      <c r="J10" s="93" t="s">
        <v>837</v>
      </c>
      <c r="K10" s="70" t="s">
        <v>838</v>
      </c>
      <c r="L10" s="70" t="s">
        <v>837</v>
      </c>
      <c r="M10" s="70" t="s">
        <v>838</v>
      </c>
      <c r="N10" s="70" t="s">
        <v>837</v>
      </c>
      <c r="O10" s="70" t="s">
        <v>838</v>
      </c>
      <c r="P10" s="70"/>
    </row>
    <row r="11" spans="1:16" x14ac:dyDescent="0.25">
      <c r="A11" s="98" t="s">
        <v>839</v>
      </c>
      <c r="B11" s="86" t="s">
        <v>840</v>
      </c>
      <c r="C11" s="86"/>
      <c r="D11" s="86"/>
      <c r="E11" s="86"/>
      <c r="F11" s="86"/>
      <c r="G11" s="86"/>
      <c r="H11" s="86"/>
      <c r="I11" s="96">
        <f>SUM(C11:H11)</f>
        <v>0</v>
      </c>
      <c r="J11" s="94"/>
      <c r="K11" s="86"/>
      <c r="L11" s="86"/>
      <c r="M11" s="86"/>
      <c r="N11" s="86"/>
      <c r="O11" s="86"/>
      <c r="P11" s="86">
        <f>SUM(J11:O11)</f>
        <v>0</v>
      </c>
    </row>
    <row r="12" spans="1:16" x14ac:dyDescent="0.25">
      <c r="A12" s="98" t="s">
        <v>841</v>
      </c>
      <c r="B12" s="86" t="s">
        <v>842</v>
      </c>
      <c r="C12" s="86"/>
      <c r="D12" s="86"/>
      <c r="E12" s="86"/>
      <c r="F12" s="86"/>
      <c r="G12" s="86"/>
      <c r="H12" s="86"/>
      <c r="I12" s="96">
        <f t="shared" ref="I12:I15" si="0">SUM(C12:H12)</f>
        <v>0</v>
      </c>
      <c r="J12" s="94"/>
      <c r="K12" s="86"/>
      <c r="L12" s="86"/>
      <c r="M12" s="86"/>
      <c r="N12" s="86"/>
      <c r="O12" s="86"/>
      <c r="P12" s="86">
        <f t="shared" ref="P12:P14" si="1">SUM(J12:O12)</f>
        <v>0</v>
      </c>
    </row>
    <row r="13" spans="1:16" ht="27.6" x14ac:dyDescent="0.25">
      <c r="A13" s="98" t="s">
        <v>843</v>
      </c>
      <c r="B13" s="83" t="s">
        <v>844</v>
      </c>
      <c r="C13" s="86"/>
      <c r="D13" s="86"/>
      <c r="E13" s="86"/>
      <c r="F13" s="86"/>
      <c r="G13" s="86"/>
      <c r="H13" s="86"/>
      <c r="I13" s="96">
        <f t="shared" si="0"/>
        <v>0</v>
      </c>
      <c r="J13" s="94"/>
      <c r="K13" s="86"/>
      <c r="L13" s="86"/>
      <c r="M13" s="86"/>
      <c r="N13" s="86"/>
      <c r="O13" s="86"/>
      <c r="P13" s="86">
        <f t="shared" si="1"/>
        <v>0</v>
      </c>
    </row>
    <row r="14" spans="1:16" x14ac:dyDescent="0.25">
      <c r="A14" s="98" t="s">
        <v>845</v>
      </c>
      <c r="B14" s="86" t="s">
        <v>846</v>
      </c>
      <c r="C14" s="86"/>
      <c r="D14" s="86"/>
      <c r="E14" s="86"/>
      <c r="F14" s="86"/>
      <c r="G14" s="86"/>
      <c r="H14" s="86"/>
      <c r="I14" s="96">
        <f t="shared" si="0"/>
        <v>0</v>
      </c>
      <c r="J14" s="94"/>
      <c r="K14" s="86"/>
      <c r="L14" s="86"/>
      <c r="M14" s="86"/>
      <c r="N14" s="86"/>
      <c r="O14" s="86"/>
      <c r="P14" s="86">
        <f t="shared" si="1"/>
        <v>0</v>
      </c>
    </row>
    <row r="15" spans="1:16" x14ac:dyDescent="0.25">
      <c r="A15" s="98" t="s">
        <v>847</v>
      </c>
      <c r="B15" s="100" t="s">
        <v>848</v>
      </c>
      <c r="C15" s="101">
        <f>SUM(C11:C14)</f>
        <v>0</v>
      </c>
      <c r="D15" s="101">
        <f t="shared" ref="D15:H15" si="2">SUM(D11:D14)</f>
        <v>0</v>
      </c>
      <c r="E15" s="101">
        <f t="shared" si="2"/>
        <v>0</v>
      </c>
      <c r="F15" s="101">
        <f t="shared" si="2"/>
        <v>0</v>
      </c>
      <c r="G15" s="101">
        <f t="shared" si="2"/>
        <v>0</v>
      </c>
      <c r="H15" s="101">
        <f t="shared" si="2"/>
        <v>0</v>
      </c>
      <c r="I15" s="102">
        <f t="shared" si="0"/>
        <v>0</v>
      </c>
      <c r="J15" s="103">
        <f>SUM(J11:J14)</f>
        <v>0</v>
      </c>
      <c r="K15" s="103">
        <f t="shared" ref="K15:O15" si="3">SUM(K11:K14)</f>
        <v>0</v>
      </c>
      <c r="L15" s="103">
        <f t="shared" si="3"/>
        <v>0</v>
      </c>
      <c r="M15" s="103">
        <f t="shared" si="3"/>
        <v>0</v>
      </c>
      <c r="N15" s="103">
        <f t="shared" si="3"/>
        <v>0</v>
      </c>
      <c r="O15" s="103">
        <f t="shared" si="3"/>
        <v>0</v>
      </c>
      <c r="P15" s="101">
        <v>0</v>
      </c>
    </row>
    <row r="16" spans="1:16" x14ac:dyDescent="0.25">
      <c r="A16" s="98"/>
      <c r="B16" s="86"/>
      <c r="C16" s="86"/>
      <c r="D16" s="86"/>
      <c r="E16" s="86"/>
      <c r="F16" s="86"/>
      <c r="G16" s="86"/>
      <c r="H16" s="86"/>
      <c r="I16" s="96"/>
      <c r="J16" s="94"/>
      <c r="K16" s="86"/>
      <c r="L16" s="86"/>
      <c r="M16" s="86"/>
      <c r="N16" s="86"/>
      <c r="O16" s="86"/>
      <c r="P16" s="86"/>
    </row>
    <row r="17" spans="1:16" x14ac:dyDescent="0.25">
      <c r="A17" s="98" t="s">
        <v>849</v>
      </c>
      <c r="B17" s="86" t="s">
        <v>850</v>
      </c>
      <c r="C17" s="86"/>
      <c r="D17" s="86"/>
      <c r="E17" s="86"/>
      <c r="F17" s="86"/>
      <c r="G17" s="86"/>
      <c r="H17" s="86"/>
      <c r="I17" s="96"/>
      <c r="J17" s="94"/>
      <c r="K17" s="86"/>
      <c r="L17" s="86"/>
      <c r="M17" s="86"/>
      <c r="N17" s="86"/>
      <c r="O17" s="86"/>
      <c r="P17" s="86"/>
    </row>
    <row r="18" spans="1:16" x14ac:dyDescent="0.25">
      <c r="A18" s="98" t="s">
        <v>851</v>
      </c>
      <c r="B18" s="86" t="s">
        <v>852</v>
      </c>
      <c r="C18" s="86"/>
      <c r="D18" s="86"/>
      <c r="E18" s="86"/>
      <c r="F18" s="86"/>
      <c r="G18" s="86"/>
      <c r="H18" s="86"/>
      <c r="I18" s="96"/>
      <c r="J18" s="94"/>
      <c r="K18" s="86"/>
      <c r="L18" s="86"/>
      <c r="M18" s="86"/>
      <c r="N18" s="86"/>
      <c r="O18" s="86"/>
      <c r="P18" s="86"/>
    </row>
    <row r="21" spans="1:16" x14ac:dyDescent="0.25">
      <c r="J21" s="620" t="s">
        <v>853</v>
      </c>
      <c r="K21" s="621"/>
      <c r="L21" s="621"/>
      <c r="M21" s="622"/>
    </row>
    <row r="22" spans="1:16" x14ac:dyDescent="0.25">
      <c r="B22" s="99" t="s">
        <v>854</v>
      </c>
      <c r="J22" s="623"/>
      <c r="K22" s="624"/>
      <c r="L22" s="624"/>
      <c r="M22" s="625"/>
    </row>
    <row r="23" spans="1:16" x14ac:dyDescent="0.25">
      <c r="A23" s="98" t="s">
        <v>855</v>
      </c>
      <c r="B23" s="86" t="s">
        <v>840</v>
      </c>
      <c r="C23" s="86"/>
      <c r="D23" s="86" t="s">
        <v>405</v>
      </c>
      <c r="E23" s="86"/>
      <c r="F23" s="86"/>
      <c r="G23" s="86"/>
      <c r="H23" s="86"/>
      <c r="I23" s="96" t="s">
        <v>405</v>
      </c>
      <c r="J23" s="601" t="s">
        <v>405</v>
      </c>
      <c r="K23" s="602"/>
      <c r="L23" s="602"/>
      <c r="M23" s="86"/>
    </row>
    <row r="24" spans="1:16" x14ac:dyDescent="0.25">
      <c r="A24" s="98" t="s">
        <v>856</v>
      </c>
      <c r="B24" s="86" t="s">
        <v>842</v>
      </c>
      <c r="C24" s="86"/>
      <c r="D24" s="86"/>
      <c r="E24" s="86"/>
      <c r="F24" s="86"/>
      <c r="G24" s="86"/>
      <c r="H24" s="86"/>
      <c r="I24" s="96"/>
      <c r="J24" s="601"/>
      <c r="K24" s="602"/>
      <c r="L24" s="602"/>
      <c r="M24" s="86"/>
    </row>
    <row r="25" spans="1:16" ht="27.6" x14ac:dyDescent="0.25">
      <c r="A25" s="98" t="s">
        <v>857</v>
      </c>
      <c r="B25" s="83" t="s">
        <v>844</v>
      </c>
      <c r="C25" s="86"/>
      <c r="D25" s="86"/>
      <c r="E25" s="86"/>
      <c r="F25" s="86"/>
      <c r="G25" s="86"/>
      <c r="H25" s="86"/>
      <c r="I25" s="96"/>
      <c r="J25" s="601"/>
      <c r="K25" s="602"/>
      <c r="L25" s="602"/>
      <c r="M25" s="86"/>
    </row>
    <row r="26" spans="1:16" x14ac:dyDescent="0.25">
      <c r="A26" s="98" t="s">
        <v>858</v>
      </c>
      <c r="B26" s="86" t="s">
        <v>846</v>
      </c>
      <c r="C26" s="86"/>
      <c r="D26" s="86"/>
      <c r="E26" s="86"/>
      <c r="F26" s="86"/>
      <c r="G26" s="86"/>
      <c r="H26" s="86"/>
      <c r="I26" s="96"/>
      <c r="J26" s="601"/>
      <c r="K26" s="602"/>
      <c r="L26" s="602"/>
      <c r="M26" s="86"/>
    </row>
    <row r="27" spans="1:16" x14ac:dyDescent="0.25">
      <c r="A27" s="98" t="s">
        <v>859</v>
      </c>
      <c r="B27" s="104" t="s">
        <v>860</v>
      </c>
      <c r="C27" s="105">
        <f>SUM(C23:C26)</f>
        <v>0</v>
      </c>
      <c r="D27" s="105">
        <f t="shared" ref="D27:H27" si="4">SUM(D23:D26)</f>
        <v>0</v>
      </c>
      <c r="E27" s="105">
        <f t="shared" si="4"/>
        <v>0</v>
      </c>
      <c r="F27" s="105">
        <f t="shared" si="4"/>
        <v>0</v>
      </c>
      <c r="G27" s="105">
        <f t="shared" si="4"/>
        <v>0</v>
      </c>
      <c r="H27" s="105">
        <f t="shared" si="4"/>
        <v>0</v>
      </c>
      <c r="I27" s="105">
        <v>0</v>
      </c>
      <c r="J27" s="603">
        <f>SUM(J23:L26)</f>
        <v>0</v>
      </c>
      <c r="K27" s="604"/>
      <c r="L27" s="604"/>
      <c r="M27" s="105">
        <f>SUM(M23:M26)</f>
        <v>0</v>
      </c>
    </row>
    <row r="28" spans="1:16" x14ac:dyDescent="0.25">
      <c r="A28" s="98" t="s">
        <v>861</v>
      </c>
      <c r="B28" s="86" t="s">
        <v>850</v>
      </c>
      <c r="C28" s="86"/>
      <c r="D28" s="86"/>
      <c r="E28" s="86"/>
      <c r="F28" s="86"/>
      <c r="G28" s="86"/>
      <c r="H28" s="86"/>
      <c r="I28" s="96"/>
      <c r="J28" s="601"/>
      <c r="K28" s="602"/>
      <c r="L28" s="602"/>
      <c r="M28" s="86"/>
      <c r="O28" s="617" t="s">
        <v>862</v>
      </c>
      <c r="P28" s="617"/>
    </row>
    <row r="29" spans="1:16" x14ac:dyDescent="0.25">
      <c r="A29" s="98" t="s">
        <v>863</v>
      </c>
      <c r="B29" s="86" t="s">
        <v>852</v>
      </c>
      <c r="C29" s="86"/>
      <c r="D29" s="86"/>
      <c r="E29" s="86"/>
      <c r="F29" s="86"/>
      <c r="G29" s="86"/>
      <c r="H29" s="86"/>
      <c r="I29" s="96"/>
      <c r="J29" s="601"/>
      <c r="K29" s="602"/>
      <c r="L29" s="602"/>
      <c r="M29" s="86"/>
      <c r="O29" s="617" t="s">
        <v>864</v>
      </c>
      <c r="P29" s="617"/>
    </row>
    <row r="30" spans="1:16" x14ac:dyDescent="0.25">
      <c r="A30" s="98"/>
      <c r="B30" s="86"/>
      <c r="C30" s="86"/>
      <c r="D30" s="86"/>
      <c r="E30" s="86"/>
      <c r="F30" s="86"/>
      <c r="G30" s="86"/>
      <c r="H30" s="86"/>
      <c r="I30" s="106"/>
      <c r="J30" s="618"/>
      <c r="K30" s="619"/>
      <c r="L30" s="619"/>
      <c r="M30" s="107"/>
    </row>
    <row r="31" spans="1:16" x14ac:dyDescent="0.25">
      <c r="A31" s="42" t="s">
        <v>867</v>
      </c>
      <c r="B31" s="28" t="s">
        <v>868</v>
      </c>
      <c r="C31" s="29">
        <f>C15+C27</f>
        <v>0</v>
      </c>
      <c r="D31" s="29">
        <f t="shared" ref="D31:I31" si="5">D15+D27</f>
        <v>0</v>
      </c>
      <c r="E31" s="29">
        <f t="shared" si="5"/>
        <v>0</v>
      </c>
      <c r="F31" s="29">
        <f t="shared" si="5"/>
        <v>0</v>
      </c>
      <c r="G31" s="29">
        <f t="shared" si="5"/>
        <v>0</v>
      </c>
      <c r="H31" s="29">
        <f t="shared" si="5"/>
        <v>0</v>
      </c>
      <c r="I31" s="29">
        <f t="shared" si="5"/>
        <v>0</v>
      </c>
      <c r="J31" s="108"/>
      <c r="K31" s="109"/>
      <c r="L31" s="110"/>
      <c r="M31" s="111"/>
    </row>
    <row r="33" spans="1:13" x14ac:dyDescent="0.25">
      <c r="A33" s="600" t="s">
        <v>869</v>
      </c>
      <c r="B33" s="600"/>
      <c r="C33" s="600"/>
      <c r="D33" s="600"/>
      <c r="E33" s="600"/>
      <c r="F33" s="600"/>
      <c r="G33" s="600"/>
      <c r="H33" s="600"/>
      <c r="I33" s="600"/>
      <c r="J33" s="600"/>
      <c r="K33" s="600"/>
      <c r="L33" s="600"/>
      <c r="M33" s="600"/>
    </row>
    <row r="34" spans="1:13" x14ac:dyDescent="0.25">
      <c r="A34" s="597" t="s">
        <v>1247</v>
      </c>
      <c r="B34" s="597"/>
      <c r="C34" s="597"/>
      <c r="D34" s="597"/>
      <c r="E34" s="597"/>
      <c r="F34" s="597"/>
      <c r="G34" s="597"/>
      <c r="H34" s="597"/>
      <c r="I34" s="597"/>
      <c r="J34" s="597"/>
      <c r="K34" s="597"/>
      <c r="L34" s="597"/>
      <c r="M34" s="597"/>
    </row>
  </sheetData>
  <mergeCells count="24">
    <mergeCell ref="O29:P29"/>
    <mergeCell ref="J30:L30"/>
    <mergeCell ref="J21:M22"/>
    <mergeCell ref="J23:L23"/>
    <mergeCell ref="J24:L24"/>
    <mergeCell ref="J28:L28"/>
    <mergeCell ref="O28:P28"/>
    <mergeCell ref="A7:A10"/>
    <mergeCell ref="C7:I8"/>
    <mergeCell ref="J7:P8"/>
    <mergeCell ref="C9:D9"/>
    <mergeCell ref="E9:F9"/>
    <mergeCell ref="G9:H9"/>
    <mergeCell ref="J9:K9"/>
    <mergeCell ref="L9:M9"/>
    <mergeCell ref="N9:O9"/>
    <mergeCell ref="B7:B8"/>
    <mergeCell ref="B9:B10"/>
    <mergeCell ref="A33:M33"/>
    <mergeCell ref="A34:M34"/>
    <mergeCell ref="J25:L25"/>
    <mergeCell ref="J26:L26"/>
    <mergeCell ref="J27:L27"/>
    <mergeCell ref="J29:L29"/>
  </mergeCells>
  <pageMargins left="0.7" right="0.7" top="0.75" bottom="0.75" header="0.3" footer="0.3"/>
  <pageSetup paperSize="9" scale="56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I32"/>
  <sheetViews>
    <sheetView workbookViewId="0">
      <selection activeCell="G1" sqref="G1"/>
    </sheetView>
  </sheetViews>
  <sheetFormatPr baseColWidth="10" defaultColWidth="11.44140625" defaultRowHeight="13.8" x14ac:dyDescent="0.25"/>
  <cols>
    <col min="1" max="1" width="48" style="5" customWidth="1"/>
    <col min="2" max="2" width="11.44140625" style="5"/>
    <col min="3" max="3" width="14.88671875" style="5" customWidth="1"/>
    <col min="4" max="4" width="12" style="5" customWidth="1"/>
    <col min="5" max="5" width="11.44140625" style="5"/>
    <col min="6" max="6" width="14.77734375" style="5" customWidth="1"/>
    <col min="7" max="8" width="11.44140625" style="5"/>
    <col min="9" max="9" width="12.5546875" style="5" customWidth="1"/>
    <col min="10" max="16384" width="11.44140625" style="5"/>
  </cols>
  <sheetData>
    <row r="6" spans="1:9" ht="23.25" customHeight="1" x14ac:dyDescent="0.25">
      <c r="A6" s="627" t="s">
        <v>895</v>
      </c>
      <c r="B6" s="95" t="s">
        <v>187</v>
      </c>
      <c r="C6" s="630" t="s">
        <v>205</v>
      </c>
      <c r="D6" s="587"/>
      <c r="E6" s="631"/>
      <c r="F6" s="630" t="s">
        <v>870</v>
      </c>
      <c r="G6" s="587"/>
      <c r="H6" s="631"/>
      <c r="I6" s="93" t="s">
        <v>438</v>
      </c>
    </row>
    <row r="7" spans="1:9" x14ac:dyDescent="0.25">
      <c r="A7" s="628"/>
      <c r="B7" s="632" t="s">
        <v>871</v>
      </c>
      <c r="C7" s="630" t="s">
        <v>872</v>
      </c>
      <c r="D7" s="587"/>
      <c r="E7" s="631"/>
      <c r="F7" s="630" t="s">
        <v>873</v>
      </c>
      <c r="G7" s="587"/>
      <c r="H7" s="631"/>
      <c r="I7" s="626" t="s">
        <v>874</v>
      </c>
    </row>
    <row r="8" spans="1:9" ht="60.75" customHeight="1" x14ac:dyDescent="0.25">
      <c r="A8" s="92" t="s">
        <v>896</v>
      </c>
      <c r="B8" s="632"/>
      <c r="C8" s="113" t="s">
        <v>875</v>
      </c>
      <c r="D8" s="70" t="s">
        <v>876</v>
      </c>
      <c r="E8" s="114" t="s">
        <v>877</v>
      </c>
      <c r="F8" s="113" t="s">
        <v>875</v>
      </c>
      <c r="G8" s="70" t="s">
        <v>876</v>
      </c>
      <c r="H8" s="114" t="s">
        <v>877</v>
      </c>
      <c r="I8" s="626"/>
    </row>
    <row r="9" spans="1:9" x14ac:dyDescent="0.25">
      <c r="A9" s="83" t="s">
        <v>49</v>
      </c>
      <c r="B9" s="86">
        <v>0</v>
      </c>
      <c r="C9" s="115">
        <v>0</v>
      </c>
      <c r="D9" s="115">
        <v>0</v>
      </c>
      <c r="E9" s="86">
        <v>0</v>
      </c>
      <c r="F9" s="115">
        <v>0</v>
      </c>
      <c r="G9" s="115">
        <v>0</v>
      </c>
      <c r="H9" s="86">
        <v>0</v>
      </c>
      <c r="I9" s="86">
        <f>B9+C9+D9+E9-F9-G9-H9</f>
        <v>0</v>
      </c>
    </row>
    <row r="10" spans="1:9" x14ac:dyDescent="0.25">
      <c r="A10" s="83" t="s">
        <v>83</v>
      </c>
      <c r="B10" s="86">
        <v>0</v>
      </c>
      <c r="C10" s="86">
        <v>0</v>
      </c>
      <c r="D10" s="86">
        <v>0</v>
      </c>
      <c r="E10" s="86">
        <v>0</v>
      </c>
      <c r="F10" s="86">
        <v>0</v>
      </c>
      <c r="G10" s="86">
        <v>0</v>
      </c>
      <c r="H10" s="86">
        <v>0</v>
      </c>
      <c r="I10" s="86">
        <f t="shared" ref="I10:I14" si="0">B10+C10+D10+E10-F10-G10-H10</f>
        <v>0</v>
      </c>
    </row>
    <row r="11" spans="1:9" x14ac:dyDescent="0.25">
      <c r="A11" s="83" t="s">
        <v>878</v>
      </c>
      <c r="B11" s="86">
        <v>0</v>
      </c>
      <c r="C11" s="86">
        <v>0</v>
      </c>
      <c r="D11" s="86">
        <v>0</v>
      </c>
      <c r="E11" s="86">
        <v>0</v>
      </c>
      <c r="F11" s="86">
        <v>0</v>
      </c>
      <c r="G11" s="86">
        <v>0</v>
      </c>
      <c r="H11" s="86">
        <v>0</v>
      </c>
      <c r="I11" s="86">
        <f t="shared" si="0"/>
        <v>0</v>
      </c>
    </row>
    <row r="12" spans="1:9" ht="27.6" x14ac:dyDescent="0.25">
      <c r="A12" s="112" t="s">
        <v>879</v>
      </c>
      <c r="B12" s="86">
        <v>0</v>
      </c>
      <c r="C12" s="86">
        <v>0</v>
      </c>
      <c r="D12" s="86">
        <v>0</v>
      </c>
      <c r="E12" s="86">
        <v>0</v>
      </c>
      <c r="F12" s="86">
        <v>0</v>
      </c>
      <c r="G12" s="86">
        <v>0</v>
      </c>
      <c r="H12" s="86">
        <v>0</v>
      </c>
      <c r="I12" s="86">
        <f t="shared" si="0"/>
        <v>0</v>
      </c>
    </row>
    <row r="13" spans="1:9" x14ac:dyDescent="0.25">
      <c r="A13" s="83" t="s">
        <v>880</v>
      </c>
      <c r="B13" s="86"/>
      <c r="C13" s="86"/>
      <c r="D13" s="86"/>
      <c r="E13" s="86"/>
      <c r="F13" s="86"/>
      <c r="G13" s="86"/>
      <c r="H13" s="86"/>
      <c r="I13" s="86">
        <f t="shared" si="0"/>
        <v>0</v>
      </c>
    </row>
    <row r="14" spans="1:9" x14ac:dyDescent="0.25">
      <c r="A14" s="116" t="s">
        <v>881</v>
      </c>
      <c r="B14" s="126">
        <v>0</v>
      </c>
      <c r="C14" s="126">
        <v>0</v>
      </c>
      <c r="D14" s="126">
        <v>0</v>
      </c>
      <c r="E14" s="126">
        <v>0</v>
      </c>
      <c r="F14" s="126">
        <v>0</v>
      </c>
      <c r="G14" s="126">
        <v>0</v>
      </c>
      <c r="H14" s="126">
        <v>0</v>
      </c>
      <c r="I14" s="125">
        <f t="shared" si="0"/>
        <v>0</v>
      </c>
    </row>
    <row r="15" spans="1:9" x14ac:dyDescent="0.25">
      <c r="A15" s="83" t="s">
        <v>882</v>
      </c>
      <c r="B15" s="96">
        <v>0</v>
      </c>
      <c r="C15" s="94">
        <v>0</v>
      </c>
      <c r="D15" s="86">
        <v>0</v>
      </c>
      <c r="E15" s="126">
        <v>0</v>
      </c>
      <c r="F15" s="94">
        <v>0</v>
      </c>
      <c r="G15" s="86">
        <v>0</v>
      </c>
      <c r="H15" s="126">
        <v>0</v>
      </c>
      <c r="I15" s="94">
        <f>B15+C15+D15+E15-F15-G15-H15</f>
        <v>0</v>
      </c>
    </row>
    <row r="16" spans="1:9" x14ac:dyDescent="0.25">
      <c r="A16" s="83" t="s">
        <v>883</v>
      </c>
      <c r="B16" s="96">
        <v>0</v>
      </c>
      <c r="C16" s="94">
        <v>0</v>
      </c>
      <c r="D16" s="86">
        <v>0</v>
      </c>
      <c r="E16" s="126">
        <v>0</v>
      </c>
      <c r="F16" s="94">
        <v>0</v>
      </c>
      <c r="G16" s="86">
        <v>0</v>
      </c>
      <c r="H16" s="126">
        <v>0</v>
      </c>
      <c r="I16" s="94">
        <f t="shared" ref="I16:I29" si="1">B16+C16+D16+E16-F16-G16-H16</f>
        <v>0</v>
      </c>
    </row>
    <row r="17" spans="1:9" x14ac:dyDescent="0.25">
      <c r="A17" s="83" t="s">
        <v>884</v>
      </c>
      <c r="B17" s="96">
        <v>0</v>
      </c>
      <c r="C17" s="94">
        <v>0</v>
      </c>
      <c r="D17" s="86">
        <v>0</v>
      </c>
      <c r="E17" s="126">
        <v>0</v>
      </c>
      <c r="F17" s="94">
        <v>0</v>
      </c>
      <c r="G17" s="86">
        <v>0</v>
      </c>
      <c r="H17" s="126">
        <v>0</v>
      </c>
      <c r="I17" s="94">
        <f t="shared" si="1"/>
        <v>0</v>
      </c>
    </row>
    <row r="18" spans="1:9" x14ac:dyDescent="0.25">
      <c r="A18" s="83" t="s">
        <v>885</v>
      </c>
      <c r="B18" s="96">
        <v>0</v>
      </c>
      <c r="C18" s="94">
        <v>0</v>
      </c>
      <c r="D18" s="86">
        <v>0</v>
      </c>
      <c r="E18" s="126">
        <v>0</v>
      </c>
      <c r="F18" s="94">
        <v>0</v>
      </c>
      <c r="G18" s="86">
        <v>0</v>
      </c>
      <c r="H18" s="126">
        <v>0</v>
      </c>
      <c r="I18" s="94">
        <f t="shared" si="1"/>
        <v>0</v>
      </c>
    </row>
    <row r="19" spans="1:9" x14ac:dyDescent="0.25">
      <c r="A19" s="83" t="s">
        <v>886</v>
      </c>
      <c r="B19" s="96">
        <v>0</v>
      </c>
      <c r="C19" s="125">
        <v>0</v>
      </c>
      <c r="D19" s="115">
        <v>0</v>
      </c>
      <c r="E19" s="96">
        <v>0</v>
      </c>
      <c r="F19" s="125">
        <v>0</v>
      </c>
      <c r="G19" s="115">
        <v>0</v>
      </c>
      <c r="H19" s="96">
        <v>0</v>
      </c>
      <c r="I19" s="94">
        <f t="shared" si="1"/>
        <v>0</v>
      </c>
    </row>
    <row r="20" spans="1:9" x14ac:dyDescent="0.25">
      <c r="A20" s="83" t="s">
        <v>577</v>
      </c>
      <c r="B20" s="96">
        <v>0</v>
      </c>
      <c r="C20" s="94">
        <v>0</v>
      </c>
      <c r="D20" s="86">
        <v>0</v>
      </c>
      <c r="E20" s="126">
        <v>0</v>
      </c>
      <c r="F20" s="94">
        <v>0</v>
      </c>
      <c r="G20" s="86">
        <v>0</v>
      </c>
      <c r="H20" s="126">
        <v>0</v>
      </c>
      <c r="I20" s="94">
        <f t="shared" si="1"/>
        <v>0</v>
      </c>
    </row>
    <row r="21" spans="1:9" x14ac:dyDescent="0.25">
      <c r="A21" s="83" t="s">
        <v>887</v>
      </c>
      <c r="B21" s="96">
        <v>0</v>
      </c>
      <c r="C21" s="94">
        <v>0</v>
      </c>
      <c r="D21" s="86">
        <v>0</v>
      </c>
      <c r="E21" s="126">
        <v>0</v>
      </c>
      <c r="F21" s="94">
        <v>0</v>
      </c>
      <c r="G21" s="86">
        <v>0</v>
      </c>
      <c r="H21" s="126">
        <v>0</v>
      </c>
      <c r="I21" s="94">
        <f t="shared" si="1"/>
        <v>0</v>
      </c>
    </row>
    <row r="22" spans="1:9" x14ac:dyDescent="0.25">
      <c r="A22" s="83" t="s">
        <v>888</v>
      </c>
      <c r="B22" s="96">
        <v>0</v>
      </c>
      <c r="C22" s="94">
        <v>0</v>
      </c>
      <c r="D22" s="86">
        <v>0</v>
      </c>
      <c r="E22" s="126">
        <v>0</v>
      </c>
      <c r="F22" s="94">
        <v>0</v>
      </c>
      <c r="G22" s="86">
        <v>0</v>
      </c>
      <c r="H22" s="126">
        <v>0</v>
      </c>
      <c r="I22" s="94">
        <f t="shared" si="1"/>
        <v>0</v>
      </c>
    </row>
    <row r="23" spans="1:9" ht="27.6" x14ac:dyDescent="0.25">
      <c r="A23" s="83" t="s">
        <v>889</v>
      </c>
      <c r="B23" s="96">
        <v>0</v>
      </c>
      <c r="C23" s="94">
        <v>0</v>
      </c>
      <c r="D23" s="86">
        <v>0</v>
      </c>
      <c r="E23" s="126">
        <v>0</v>
      </c>
      <c r="F23" s="94">
        <v>0</v>
      </c>
      <c r="G23" s="86">
        <v>0</v>
      </c>
      <c r="H23" s="126">
        <v>0</v>
      </c>
      <c r="I23" s="94">
        <f t="shared" si="1"/>
        <v>0</v>
      </c>
    </row>
    <row r="24" spans="1:9" ht="27.6" x14ac:dyDescent="0.25">
      <c r="A24" s="83" t="s">
        <v>890</v>
      </c>
      <c r="B24" s="96">
        <v>0</v>
      </c>
      <c r="C24" s="94">
        <v>0</v>
      </c>
      <c r="D24" s="86">
        <v>0</v>
      </c>
      <c r="E24" s="126">
        <v>0</v>
      </c>
      <c r="F24" s="94">
        <v>0</v>
      </c>
      <c r="G24" s="86">
        <v>0</v>
      </c>
      <c r="H24" s="126">
        <v>0</v>
      </c>
      <c r="I24" s="94">
        <f t="shared" si="1"/>
        <v>0</v>
      </c>
    </row>
    <row r="25" spans="1:9" x14ac:dyDescent="0.25">
      <c r="A25" s="83" t="s">
        <v>891</v>
      </c>
      <c r="B25" s="96">
        <v>0</v>
      </c>
      <c r="C25" s="94">
        <v>0</v>
      </c>
      <c r="D25" s="115">
        <v>0</v>
      </c>
      <c r="E25" s="126">
        <v>0</v>
      </c>
      <c r="F25" s="94">
        <v>0</v>
      </c>
      <c r="G25" s="115">
        <v>0</v>
      </c>
      <c r="H25" s="126">
        <v>0</v>
      </c>
      <c r="I25" s="94">
        <f t="shared" si="1"/>
        <v>0</v>
      </c>
    </row>
    <row r="26" spans="1:9" x14ac:dyDescent="0.25">
      <c r="A26" s="83" t="s">
        <v>892</v>
      </c>
      <c r="B26" s="96"/>
      <c r="C26" s="125"/>
      <c r="D26" s="115"/>
      <c r="E26" s="96"/>
      <c r="F26" s="125"/>
      <c r="G26" s="115"/>
      <c r="H26" s="96"/>
      <c r="I26" s="94">
        <f t="shared" si="1"/>
        <v>0</v>
      </c>
    </row>
    <row r="27" spans="1:9" x14ac:dyDescent="0.25">
      <c r="A27" s="83" t="s">
        <v>893</v>
      </c>
      <c r="B27" s="96"/>
      <c r="C27" s="125"/>
      <c r="D27" s="86"/>
      <c r="E27" s="126"/>
      <c r="F27" s="125"/>
      <c r="G27" s="86"/>
      <c r="H27" s="126"/>
      <c r="I27" s="94">
        <f t="shared" si="1"/>
        <v>0</v>
      </c>
    </row>
    <row r="28" spans="1:9" ht="27.6" x14ac:dyDescent="0.25">
      <c r="A28" s="117" t="s">
        <v>894</v>
      </c>
      <c r="B28" s="126">
        <f>SUM(B15:B27)</f>
        <v>0</v>
      </c>
      <c r="C28" s="126">
        <f t="shared" ref="C28:H28" si="2">SUM(C15:C27)</f>
        <v>0</v>
      </c>
      <c r="D28" s="126">
        <f t="shared" si="2"/>
        <v>0</v>
      </c>
      <c r="E28" s="126">
        <f t="shared" si="2"/>
        <v>0</v>
      </c>
      <c r="F28" s="126">
        <f t="shared" si="2"/>
        <v>0</v>
      </c>
      <c r="G28" s="126">
        <f t="shared" si="2"/>
        <v>0</v>
      </c>
      <c r="H28" s="126">
        <f t="shared" si="2"/>
        <v>0</v>
      </c>
      <c r="I28" s="125">
        <f t="shared" si="1"/>
        <v>0</v>
      </c>
    </row>
    <row r="29" spans="1:9" x14ac:dyDescent="0.25">
      <c r="A29" s="31" t="s">
        <v>373</v>
      </c>
      <c r="B29" s="366">
        <f>B14+B28</f>
        <v>0</v>
      </c>
      <c r="C29" s="366">
        <f t="shared" ref="C29:H29" si="3">C14+C28</f>
        <v>0</v>
      </c>
      <c r="D29" s="366">
        <f t="shared" si="3"/>
        <v>0</v>
      </c>
      <c r="E29" s="366">
        <f t="shared" si="3"/>
        <v>0</v>
      </c>
      <c r="F29" s="366">
        <f t="shared" si="3"/>
        <v>0</v>
      </c>
      <c r="G29" s="366">
        <f t="shared" si="3"/>
        <v>0</v>
      </c>
      <c r="H29" s="366">
        <f t="shared" si="3"/>
        <v>0</v>
      </c>
      <c r="I29" s="367">
        <f t="shared" si="1"/>
        <v>0</v>
      </c>
    </row>
    <row r="31" spans="1:9" ht="14.4" x14ac:dyDescent="0.3">
      <c r="A31" s="629" t="s">
        <v>897</v>
      </c>
      <c r="B31" s="629"/>
      <c r="C31" s="629"/>
      <c r="D31" s="629"/>
      <c r="E31" s="629"/>
      <c r="F31" s="629"/>
      <c r="G31" s="629"/>
      <c r="H31" s="629"/>
      <c r="I31" s="629"/>
    </row>
    <row r="32" spans="1:9" x14ac:dyDescent="0.25">
      <c r="A32" s="528" t="s">
        <v>898</v>
      </c>
      <c r="B32" s="528"/>
      <c r="C32" s="528"/>
      <c r="D32" s="528"/>
      <c r="E32" s="528"/>
      <c r="F32" s="528"/>
      <c r="G32" s="528"/>
      <c r="H32" s="528"/>
      <c r="I32" s="528"/>
    </row>
  </sheetData>
  <mergeCells count="9">
    <mergeCell ref="I7:I8"/>
    <mergeCell ref="A6:A7"/>
    <mergeCell ref="A32:I32"/>
    <mergeCell ref="A31:I31"/>
    <mergeCell ref="C6:E6"/>
    <mergeCell ref="F6:H6"/>
    <mergeCell ref="B7:B8"/>
    <mergeCell ref="C7:E7"/>
    <mergeCell ref="F7:H7"/>
  </mergeCells>
  <pageMargins left="0.7" right="0.7" top="0.75" bottom="0.75" header="0.3" footer="0.3"/>
  <pageSetup paperSize="9" scale="54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33"/>
  <sheetViews>
    <sheetView workbookViewId="0">
      <selection activeCell="G20" sqref="G20"/>
    </sheetView>
  </sheetViews>
  <sheetFormatPr baseColWidth="10" defaultColWidth="11.44140625" defaultRowHeight="13.8" x14ac:dyDescent="0.25"/>
  <cols>
    <col min="1" max="1" width="45.88671875" style="5" customWidth="1"/>
    <col min="2" max="3" width="11.44140625" style="5"/>
    <col min="4" max="4" width="9.5546875" style="5" customWidth="1"/>
    <col min="5" max="5" width="6.77734375" style="5" customWidth="1"/>
    <col min="6" max="16384" width="11.44140625" style="5"/>
  </cols>
  <sheetData>
    <row r="6" spans="1:5" x14ac:dyDescent="0.25">
      <c r="A6" s="585" t="s">
        <v>337</v>
      </c>
      <c r="B6" s="585" t="s">
        <v>505</v>
      </c>
      <c r="C6" s="585" t="s">
        <v>506</v>
      </c>
      <c r="D6" s="585" t="s">
        <v>523</v>
      </c>
      <c r="E6" s="585"/>
    </row>
    <row r="7" spans="1:5" x14ac:dyDescent="0.25">
      <c r="A7" s="585"/>
      <c r="B7" s="585"/>
      <c r="C7" s="585"/>
      <c r="D7" s="59" t="s">
        <v>524</v>
      </c>
      <c r="E7" s="59" t="s">
        <v>525</v>
      </c>
    </row>
    <row r="8" spans="1:5" s="63" customFormat="1" x14ac:dyDescent="0.25">
      <c r="A8" s="118" t="s">
        <v>917</v>
      </c>
      <c r="B8" s="119">
        <v>0</v>
      </c>
      <c r="C8" s="119">
        <v>0</v>
      </c>
      <c r="D8" s="119">
        <f t="shared" ref="D8:D16" si="0">B8-C8</f>
        <v>0</v>
      </c>
      <c r="E8" s="119">
        <f>IF(C8=0,0,(B8-C8)/C8)*100</f>
        <v>0</v>
      </c>
    </row>
    <row r="9" spans="1:5" x14ac:dyDescent="0.25">
      <c r="A9" s="26" t="s">
        <v>899</v>
      </c>
      <c r="B9" s="15">
        <v>0</v>
      </c>
      <c r="C9" s="15">
        <v>0</v>
      </c>
      <c r="D9" s="119">
        <f t="shared" si="0"/>
        <v>0</v>
      </c>
      <c r="E9" s="119">
        <f t="shared" ref="E9:E29" si="1">IF(C9=0,0,(B9-C9)/C9)*100</f>
        <v>0</v>
      </c>
    </row>
    <row r="10" spans="1:5" x14ac:dyDescent="0.25">
      <c r="A10" s="26" t="s">
        <v>900</v>
      </c>
      <c r="B10" s="15">
        <v>0</v>
      </c>
      <c r="C10" s="15">
        <v>0</v>
      </c>
      <c r="D10" s="119">
        <f t="shared" si="0"/>
        <v>0</v>
      </c>
      <c r="E10" s="119">
        <f t="shared" si="1"/>
        <v>0</v>
      </c>
    </row>
    <row r="11" spans="1:5" x14ac:dyDescent="0.25">
      <c r="A11" s="26" t="s">
        <v>901</v>
      </c>
      <c r="B11" s="15">
        <v>0</v>
      </c>
      <c r="C11" s="15">
        <v>0</v>
      </c>
      <c r="D11" s="119">
        <f t="shared" si="0"/>
        <v>0</v>
      </c>
      <c r="E11" s="119">
        <f t="shared" si="1"/>
        <v>0</v>
      </c>
    </row>
    <row r="12" spans="1:5" x14ac:dyDescent="0.25">
      <c r="A12" s="26" t="s">
        <v>902</v>
      </c>
      <c r="B12" s="15">
        <v>0</v>
      </c>
      <c r="C12" s="15">
        <v>0</v>
      </c>
      <c r="D12" s="119">
        <f t="shared" si="0"/>
        <v>0</v>
      </c>
      <c r="E12" s="119">
        <f t="shared" si="1"/>
        <v>0</v>
      </c>
    </row>
    <row r="13" spans="1:5" x14ac:dyDescent="0.25">
      <c r="A13" s="26" t="s">
        <v>903</v>
      </c>
      <c r="B13" s="15">
        <v>0</v>
      </c>
      <c r="C13" s="15">
        <v>0</v>
      </c>
      <c r="D13" s="119">
        <f t="shared" si="0"/>
        <v>0</v>
      </c>
      <c r="E13" s="119">
        <f t="shared" si="1"/>
        <v>0</v>
      </c>
    </row>
    <row r="14" spans="1:5" x14ac:dyDescent="0.25">
      <c r="A14" s="26" t="s">
        <v>904</v>
      </c>
      <c r="B14" s="15">
        <v>0</v>
      </c>
      <c r="C14" s="15">
        <v>0</v>
      </c>
      <c r="D14" s="119">
        <f t="shared" si="0"/>
        <v>0</v>
      </c>
      <c r="E14" s="119">
        <f t="shared" si="1"/>
        <v>0</v>
      </c>
    </row>
    <row r="15" spans="1:5" ht="27.6" x14ac:dyDescent="0.25">
      <c r="A15" s="26" t="s">
        <v>905</v>
      </c>
      <c r="B15" s="15">
        <v>0</v>
      </c>
      <c r="C15" s="15">
        <v>0</v>
      </c>
      <c r="D15" s="119">
        <f t="shared" si="0"/>
        <v>0</v>
      </c>
      <c r="E15" s="119">
        <f t="shared" si="1"/>
        <v>0</v>
      </c>
    </row>
    <row r="16" spans="1:5" x14ac:dyDescent="0.25">
      <c r="A16" s="122" t="s">
        <v>906</v>
      </c>
      <c r="B16" s="18">
        <f>SUM(B8:B15)</f>
        <v>0</v>
      </c>
      <c r="C16" s="18">
        <f>SUM(C8:C15)</f>
        <v>0</v>
      </c>
      <c r="D16" s="18">
        <f t="shared" si="0"/>
        <v>0</v>
      </c>
      <c r="E16" s="351">
        <f t="shared" si="1"/>
        <v>0</v>
      </c>
    </row>
    <row r="17" spans="1:5" x14ac:dyDescent="0.25">
      <c r="A17" s="26" t="s">
        <v>907</v>
      </c>
      <c r="B17" s="15">
        <v>0</v>
      </c>
      <c r="C17" s="15">
        <v>0</v>
      </c>
      <c r="D17" s="15">
        <f t="shared" ref="D17:D29" si="2">B17-C17</f>
        <v>0</v>
      </c>
      <c r="E17" s="15">
        <f t="shared" si="1"/>
        <v>0</v>
      </c>
    </row>
    <row r="18" spans="1:5" x14ac:dyDescent="0.25">
      <c r="A18" s="26" t="s">
        <v>908</v>
      </c>
      <c r="B18" s="15">
        <v>0</v>
      </c>
      <c r="C18" s="15">
        <v>0</v>
      </c>
      <c r="D18" s="15">
        <f t="shared" si="2"/>
        <v>0</v>
      </c>
      <c r="E18" s="15">
        <f t="shared" si="1"/>
        <v>0</v>
      </c>
    </row>
    <row r="19" spans="1:5" x14ac:dyDescent="0.25">
      <c r="A19" s="26" t="s">
        <v>909</v>
      </c>
      <c r="B19" s="15">
        <v>0</v>
      </c>
      <c r="C19" s="15">
        <v>0</v>
      </c>
      <c r="D19" s="15">
        <f t="shared" si="2"/>
        <v>0</v>
      </c>
      <c r="E19" s="15">
        <f t="shared" si="1"/>
        <v>0</v>
      </c>
    </row>
    <row r="20" spans="1:5" x14ac:dyDescent="0.25">
      <c r="A20" s="26" t="s">
        <v>910</v>
      </c>
      <c r="B20" s="15">
        <v>0</v>
      </c>
      <c r="C20" s="15">
        <v>0</v>
      </c>
      <c r="D20" s="15">
        <f t="shared" si="2"/>
        <v>0</v>
      </c>
      <c r="E20" s="15">
        <f t="shared" si="1"/>
        <v>0</v>
      </c>
    </row>
    <row r="21" spans="1:5" x14ac:dyDescent="0.25">
      <c r="A21" s="26" t="s">
        <v>911</v>
      </c>
      <c r="B21" s="15"/>
      <c r="C21" s="15"/>
      <c r="D21" s="15">
        <f t="shared" si="2"/>
        <v>0</v>
      </c>
      <c r="E21" s="15">
        <f t="shared" si="1"/>
        <v>0</v>
      </c>
    </row>
    <row r="22" spans="1:5" x14ac:dyDescent="0.25">
      <c r="A22" s="26" t="s">
        <v>912</v>
      </c>
      <c r="B22" s="15">
        <v>0</v>
      </c>
      <c r="C22" s="15">
        <v>0</v>
      </c>
      <c r="D22" s="15">
        <f t="shared" si="2"/>
        <v>0</v>
      </c>
      <c r="E22" s="15">
        <f t="shared" si="1"/>
        <v>0</v>
      </c>
    </row>
    <row r="23" spans="1:5" x14ac:dyDescent="0.25">
      <c r="A23" s="26" t="s">
        <v>913</v>
      </c>
      <c r="B23" s="15">
        <v>0</v>
      </c>
      <c r="C23" s="15">
        <v>0</v>
      </c>
      <c r="D23" s="15">
        <f t="shared" si="2"/>
        <v>0</v>
      </c>
      <c r="E23" s="15">
        <f t="shared" si="1"/>
        <v>0</v>
      </c>
    </row>
    <row r="24" spans="1:5" x14ac:dyDescent="0.25">
      <c r="A24" s="26" t="s">
        <v>914</v>
      </c>
      <c r="B24" s="15">
        <v>0</v>
      </c>
      <c r="C24" s="15">
        <v>0</v>
      </c>
      <c r="D24" s="15">
        <f t="shared" si="2"/>
        <v>0</v>
      </c>
      <c r="E24" s="15">
        <f t="shared" si="1"/>
        <v>0</v>
      </c>
    </row>
    <row r="25" spans="1:5" x14ac:dyDescent="0.25">
      <c r="A25" s="26" t="s">
        <v>915</v>
      </c>
      <c r="B25" s="15">
        <v>0</v>
      </c>
      <c r="C25" s="15">
        <v>0</v>
      </c>
      <c r="D25" s="15">
        <f t="shared" si="2"/>
        <v>0</v>
      </c>
      <c r="E25" s="15">
        <f t="shared" si="1"/>
        <v>0</v>
      </c>
    </row>
    <row r="26" spans="1:5" ht="27.6" x14ac:dyDescent="0.25">
      <c r="A26" s="26" t="s">
        <v>918</v>
      </c>
      <c r="B26" s="15">
        <v>0</v>
      </c>
      <c r="C26" s="15">
        <v>0</v>
      </c>
      <c r="D26" s="15">
        <f t="shared" si="2"/>
        <v>0</v>
      </c>
      <c r="E26" s="15">
        <f t="shared" si="1"/>
        <v>0</v>
      </c>
    </row>
    <row r="27" spans="1:5" x14ac:dyDescent="0.25">
      <c r="A27" s="122" t="s">
        <v>916</v>
      </c>
      <c r="B27" s="18">
        <f>SUM(B17:B26)</f>
        <v>0</v>
      </c>
      <c r="C27" s="18">
        <f t="shared" ref="C27" si="3">SUM(C17:C26)</f>
        <v>0</v>
      </c>
      <c r="D27" s="18">
        <f t="shared" si="2"/>
        <v>0</v>
      </c>
      <c r="E27" s="18">
        <f t="shared" si="1"/>
        <v>0</v>
      </c>
    </row>
    <row r="28" spans="1:5" x14ac:dyDescent="0.25">
      <c r="A28" s="26"/>
      <c r="B28" s="15"/>
      <c r="C28" s="15"/>
      <c r="D28" s="15"/>
      <c r="E28" s="15"/>
    </row>
    <row r="29" spans="1:5" x14ac:dyDescent="0.25">
      <c r="A29" s="84" t="s">
        <v>373</v>
      </c>
      <c r="B29" s="123">
        <f>B16+B27</f>
        <v>0</v>
      </c>
      <c r="C29" s="123">
        <f t="shared" ref="C29" si="4">C16+C27</f>
        <v>0</v>
      </c>
      <c r="D29" s="123">
        <f t="shared" si="2"/>
        <v>0</v>
      </c>
      <c r="E29" s="123">
        <f t="shared" si="1"/>
        <v>0</v>
      </c>
    </row>
    <row r="30" spans="1:5" x14ac:dyDescent="0.25">
      <c r="A30" s="120"/>
    </row>
    <row r="31" spans="1:5" x14ac:dyDescent="0.25">
      <c r="A31" s="124" t="s">
        <v>919</v>
      </c>
      <c r="B31" s="24"/>
      <c r="C31" s="24"/>
      <c r="D31" s="24"/>
      <c r="E31" s="24"/>
    </row>
    <row r="32" spans="1:5" x14ac:dyDescent="0.25">
      <c r="A32" s="597" t="s">
        <v>920</v>
      </c>
      <c r="B32" s="597"/>
      <c r="C32" s="597"/>
      <c r="D32" s="597"/>
      <c r="E32" s="597"/>
    </row>
    <row r="33" spans="1:5" x14ac:dyDescent="0.25">
      <c r="A33" s="597" t="s">
        <v>921</v>
      </c>
      <c r="B33" s="597"/>
      <c r="C33" s="597"/>
      <c r="D33" s="597"/>
      <c r="E33" s="597"/>
    </row>
  </sheetData>
  <mergeCells count="6">
    <mergeCell ref="A33:E33"/>
    <mergeCell ref="A6:A7"/>
    <mergeCell ref="B6:B7"/>
    <mergeCell ref="C6:C7"/>
    <mergeCell ref="D6:E6"/>
    <mergeCell ref="A32:E32"/>
  </mergeCells>
  <pageMargins left="0.7" right="0.7" top="0.75" bottom="0.75" header="0.3" footer="0.3"/>
  <pageSetup paperSize="9" scale="90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E32"/>
  <sheetViews>
    <sheetView workbookViewId="0">
      <selection activeCell="G1" sqref="G1"/>
    </sheetView>
  </sheetViews>
  <sheetFormatPr baseColWidth="10" defaultColWidth="11.44140625" defaultRowHeight="13.8" x14ac:dyDescent="0.25"/>
  <cols>
    <col min="1" max="1" width="54.5546875" style="5" customWidth="1"/>
    <col min="2" max="2" width="8" style="5" customWidth="1"/>
    <col min="3" max="3" width="8.109375" style="5" customWidth="1"/>
    <col min="4" max="4" width="8.5546875" style="5" customWidth="1"/>
    <col min="5" max="5" width="5.44140625" style="5" customWidth="1"/>
    <col min="6" max="16384" width="11.44140625" style="5"/>
  </cols>
  <sheetData>
    <row r="6" spans="1:5" x14ac:dyDescent="0.25">
      <c r="A6" s="636" t="s">
        <v>922</v>
      </c>
      <c r="B6" s="634" t="s">
        <v>505</v>
      </c>
      <c r="C6" s="634" t="s">
        <v>506</v>
      </c>
      <c r="D6" s="633" t="s">
        <v>523</v>
      </c>
      <c r="E6" s="633"/>
    </row>
    <row r="7" spans="1:5" x14ac:dyDescent="0.25">
      <c r="A7" s="637"/>
      <c r="B7" s="635"/>
      <c r="C7" s="635"/>
      <c r="D7" s="13" t="s">
        <v>619</v>
      </c>
      <c r="E7" s="13" t="s">
        <v>525</v>
      </c>
    </row>
    <row r="8" spans="1:5" x14ac:dyDescent="0.25">
      <c r="A8" s="15" t="s">
        <v>923</v>
      </c>
      <c r="B8" s="15">
        <v>0</v>
      </c>
      <c r="C8" s="15">
        <v>0</v>
      </c>
      <c r="D8" s="15">
        <f>B8-C8</f>
        <v>0</v>
      </c>
      <c r="E8" s="15">
        <f>IF(C8=0,0,(B8-C8)/C8)*100</f>
        <v>0</v>
      </c>
    </row>
    <row r="9" spans="1:5" x14ac:dyDescent="0.25">
      <c r="A9" s="15" t="s">
        <v>924</v>
      </c>
      <c r="B9" s="15">
        <v>0</v>
      </c>
      <c r="C9" s="15">
        <v>0</v>
      </c>
      <c r="D9" s="15">
        <f t="shared" ref="D9:D27" si="0">B9-C9</f>
        <v>0</v>
      </c>
      <c r="E9" s="15">
        <f t="shared" ref="E9:E27" si="1">IF(C9=0,0,(B9-C9)/C9)*100</f>
        <v>0</v>
      </c>
    </row>
    <row r="10" spans="1:5" x14ac:dyDescent="0.25">
      <c r="A10" s="127" t="s">
        <v>933</v>
      </c>
      <c r="B10" s="15">
        <v>0</v>
      </c>
      <c r="C10" s="15">
        <v>0</v>
      </c>
      <c r="D10" s="15">
        <f t="shared" si="0"/>
        <v>0</v>
      </c>
      <c r="E10" s="15">
        <f t="shared" si="1"/>
        <v>0</v>
      </c>
    </row>
    <row r="11" spans="1:5" x14ac:dyDescent="0.25">
      <c r="A11" s="15" t="s">
        <v>934</v>
      </c>
      <c r="B11" s="15">
        <v>0</v>
      </c>
      <c r="C11" s="15">
        <v>0</v>
      </c>
      <c r="D11" s="15">
        <f t="shared" si="0"/>
        <v>0</v>
      </c>
      <c r="E11" s="15">
        <f t="shared" si="1"/>
        <v>0</v>
      </c>
    </row>
    <row r="12" spans="1:5" x14ac:dyDescent="0.25">
      <c r="A12" s="15" t="s">
        <v>925</v>
      </c>
      <c r="B12" s="15">
        <v>0</v>
      </c>
      <c r="C12" s="15">
        <v>0</v>
      </c>
      <c r="D12" s="15">
        <f t="shared" si="0"/>
        <v>0</v>
      </c>
      <c r="E12" s="15">
        <f t="shared" si="1"/>
        <v>0</v>
      </c>
    </row>
    <row r="13" spans="1:5" x14ac:dyDescent="0.25">
      <c r="A13" s="15" t="s">
        <v>926</v>
      </c>
      <c r="B13" s="15">
        <v>0</v>
      </c>
      <c r="C13" s="15">
        <v>0</v>
      </c>
      <c r="D13" s="15">
        <f t="shared" si="0"/>
        <v>0</v>
      </c>
      <c r="E13" s="15">
        <f t="shared" si="1"/>
        <v>0</v>
      </c>
    </row>
    <row r="14" spans="1:5" ht="27.6" x14ac:dyDescent="0.25">
      <c r="A14" s="16" t="s">
        <v>927</v>
      </c>
      <c r="B14" s="15">
        <v>0</v>
      </c>
      <c r="C14" s="15">
        <v>0</v>
      </c>
      <c r="D14" s="15">
        <f t="shared" si="0"/>
        <v>0</v>
      </c>
      <c r="E14" s="15">
        <f t="shared" si="1"/>
        <v>0</v>
      </c>
    </row>
    <row r="15" spans="1:5" x14ac:dyDescent="0.25">
      <c r="A15" s="15" t="s">
        <v>928</v>
      </c>
      <c r="B15" s="15">
        <v>0</v>
      </c>
      <c r="C15" s="15">
        <v>0</v>
      </c>
      <c r="D15" s="15">
        <f t="shared" si="0"/>
        <v>0</v>
      </c>
      <c r="E15" s="15">
        <f t="shared" si="1"/>
        <v>0</v>
      </c>
    </row>
    <row r="16" spans="1:5" x14ac:dyDescent="0.25">
      <c r="A16" s="17" t="s">
        <v>935</v>
      </c>
      <c r="B16" s="18">
        <f>SUM(B8:B15)</f>
        <v>0</v>
      </c>
      <c r="C16" s="18">
        <f>SUM(C8:C15)</f>
        <v>0</v>
      </c>
      <c r="D16" s="18">
        <f t="shared" si="0"/>
        <v>0</v>
      </c>
      <c r="E16" s="18">
        <f t="shared" si="1"/>
        <v>0</v>
      </c>
    </row>
    <row r="17" spans="1:5" x14ac:dyDescent="0.25">
      <c r="A17" s="15" t="s">
        <v>929</v>
      </c>
      <c r="B17" s="15">
        <v>0</v>
      </c>
      <c r="C17" s="15">
        <v>0</v>
      </c>
      <c r="D17" s="15">
        <f t="shared" si="0"/>
        <v>0</v>
      </c>
      <c r="E17" s="15">
        <f t="shared" si="1"/>
        <v>0</v>
      </c>
    </row>
    <row r="18" spans="1:5" x14ac:dyDescent="0.25">
      <c r="A18" s="15" t="s">
        <v>936</v>
      </c>
      <c r="B18" s="15">
        <v>0</v>
      </c>
      <c r="C18" s="15">
        <v>0</v>
      </c>
      <c r="D18" s="15">
        <f t="shared" si="0"/>
        <v>0</v>
      </c>
      <c r="E18" s="15">
        <f t="shared" si="1"/>
        <v>0</v>
      </c>
    </row>
    <row r="19" spans="1:5" x14ac:dyDescent="0.25">
      <c r="A19" s="15" t="s">
        <v>937</v>
      </c>
      <c r="B19" s="15">
        <v>0</v>
      </c>
      <c r="C19" s="15">
        <v>0</v>
      </c>
      <c r="D19" s="15">
        <f t="shared" si="0"/>
        <v>0</v>
      </c>
      <c r="E19" s="15">
        <f t="shared" si="1"/>
        <v>0</v>
      </c>
    </row>
    <row r="20" spans="1:5" x14ac:dyDescent="0.25">
      <c r="A20" s="15" t="s">
        <v>938</v>
      </c>
      <c r="B20" s="15">
        <v>0</v>
      </c>
      <c r="C20" s="15">
        <v>0</v>
      </c>
      <c r="D20" s="15">
        <f t="shared" si="0"/>
        <v>0</v>
      </c>
      <c r="E20" s="15">
        <f t="shared" si="1"/>
        <v>0</v>
      </c>
    </row>
    <row r="21" spans="1:5" x14ac:dyDescent="0.25">
      <c r="A21" s="15" t="s">
        <v>939</v>
      </c>
      <c r="B21" s="15">
        <v>0</v>
      </c>
      <c r="C21" s="15">
        <v>0</v>
      </c>
      <c r="D21" s="15">
        <f t="shared" si="0"/>
        <v>0</v>
      </c>
      <c r="E21" s="15">
        <f t="shared" si="1"/>
        <v>0</v>
      </c>
    </row>
    <row r="22" spans="1:5" x14ac:dyDescent="0.25">
      <c r="A22" s="15" t="s">
        <v>940</v>
      </c>
      <c r="B22" s="15">
        <v>0</v>
      </c>
      <c r="C22" s="15">
        <v>0</v>
      </c>
      <c r="D22" s="15">
        <f t="shared" si="0"/>
        <v>0</v>
      </c>
      <c r="E22" s="15">
        <f t="shared" si="1"/>
        <v>0</v>
      </c>
    </row>
    <row r="23" spans="1:5" x14ac:dyDescent="0.25">
      <c r="A23" s="15" t="s">
        <v>941</v>
      </c>
      <c r="B23" s="15">
        <v>0</v>
      </c>
      <c r="C23" s="15">
        <v>0</v>
      </c>
      <c r="D23" s="15">
        <f t="shared" si="0"/>
        <v>0</v>
      </c>
      <c r="E23" s="15">
        <f t="shared" si="1"/>
        <v>0</v>
      </c>
    </row>
    <row r="24" spans="1:5" ht="27.6" x14ac:dyDescent="0.25">
      <c r="A24" s="16" t="s">
        <v>930</v>
      </c>
      <c r="B24" s="15">
        <v>0</v>
      </c>
      <c r="C24" s="15">
        <v>0</v>
      </c>
      <c r="D24" s="15">
        <f t="shared" si="0"/>
        <v>0</v>
      </c>
      <c r="E24" s="15">
        <f t="shared" si="1"/>
        <v>0</v>
      </c>
    </row>
    <row r="25" spans="1:5" x14ac:dyDescent="0.25">
      <c r="A25" s="15" t="s">
        <v>931</v>
      </c>
      <c r="B25" s="15">
        <v>0</v>
      </c>
      <c r="C25" s="15">
        <v>0</v>
      </c>
      <c r="D25" s="15">
        <f t="shared" si="0"/>
        <v>0</v>
      </c>
      <c r="E25" s="15">
        <f t="shared" si="1"/>
        <v>0</v>
      </c>
    </row>
    <row r="26" spans="1:5" x14ac:dyDescent="0.25">
      <c r="A26" s="15" t="s">
        <v>932</v>
      </c>
      <c r="B26" s="15">
        <v>0</v>
      </c>
      <c r="C26" s="15">
        <v>0</v>
      </c>
      <c r="D26" s="15">
        <f t="shared" si="0"/>
        <v>0</v>
      </c>
      <c r="E26" s="15">
        <f t="shared" si="1"/>
        <v>0</v>
      </c>
    </row>
    <row r="27" spans="1:5" x14ac:dyDescent="0.25">
      <c r="A27" s="17" t="s">
        <v>942</v>
      </c>
      <c r="B27" s="18">
        <f>SUM(B17:B26)</f>
        <v>0</v>
      </c>
      <c r="C27" s="18">
        <f t="shared" ref="C27" si="2">SUM(C17:C26)</f>
        <v>0</v>
      </c>
      <c r="D27" s="18">
        <f t="shared" si="0"/>
        <v>0</v>
      </c>
      <c r="E27" s="18">
        <f t="shared" si="1"/>
        <v>0</v>
      </c>
    </row>
    <row r="28" spans="1:5" x14ac:dyDescent="0.25">
      <c r="A28" s="15"/>
      <c r="B28" s="15"/>
      <c r="C28" s="15"/>
      <c r="D28" s="15"/>
      <c r="E28" s="15"/>
    </row>
    <row r="29" spans="1:5" x14ac:dyDescent="0.25">
      <c r="A29" s="31" t="s">
        <v>373</v>
      </c>
      <c r="B29" s="47">
        <f xml:space="preserve"> B16+B27</f>
        <v>0</v>
      </c>
      <c r="C29" s="47">
        <f xml:space="preserve"> C16+C27</f>
        <v>0</v>
      </c>
      <c r="D29" s="47">
        <f t="shared" ref="D29" si="3" xml:space="preserve"> D16+D27</f>
        <v>0</v>
      </c>
      <c r="E29" s="47">
        <f xml:space="preserve"> E16+E27</f>
        <v>0</v>
      </c>
    </row>
    <row r="30" spans="1:5" x14ac:dyDescent="0.25">
      <c r="A30" s="128"/>
      <c r="B30" s="128"/>
      <c r="C30" s="128"/>
      <c r="D30" s="128"/>
      <c r="E30" s="128"/>
    </row>
    <row r="31" spans="1:5" ht="14.4" x14ac:dyDescent="0.3">
      <c r="A31" s="23" t="s">
        <v>608</v>
      </c>
    </row>
    <row r="32" spans="1:5" x14ac:dyDescent="0.25">
      <c r="A32" s="36" t="s">
        <v>943</v>
      </c>
    </row>
  </sheetData>
  <mergeCells count="4">
    <mergeCell ref="D6:E6"/>
    <mergeCell ref="B6:B7"/>
    <mergeCell ref="C6:C7"/>
    <mergeCell ref="A6:A7"/>
  </mergeCells>
  <pageMargins left="0.7" right="0.7" top="0.75" bottom="0.75" header="0.3" footer="0.3"/>
  <pageSetup paperSize="9" scale="91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45"/>
  <sheetViews>
    <sheetView workbookViewId="0">
      <selection activeCell="G1" sqref="G1"/>
    </sheetView>
  </sheetViews>
  <sheetFormatPr baseColWidth="10" defaultColWidth="11.44140625" defaultRowHeight="13.8" x14ac:dyDescent="0.25"/>
  <cols>
    <col min="1" max="1" width="66.88671875" style="5" customWidth="1"/>
    <col min="2" max="2" width="7.88671875" style="5" customWidth="1"/>
    <col min="3" max="3" width="8.21875" style="5" customWidth="1"/>
    <col min="4" max="4" width="11.44140625" style="5"/>
    <col min="5" max="5" width="6.5546875" style="5" customWidth="1"/>
    <col min="6" max="16384" width="11.44140625" style="5"/>
  </cols>
  <sheetData>
    <row r="6" spans="1:5" ht="27" customHeight="1" x14ac:dyDescent="0.25">
      <c r="A6" s="577" t="s">
        <v>944</v>
      </c>
      <c r="B6" s="641" t="s">
        <v>505</v>
      </c>
      <c r="C6" s="641" t="s">
        <v>506</v>
      </c>
      <c r="D6" s="573" t="s">
        <v>971</v>
      </c>
      <c r="E6" s="573"/>
    </row>
    <row r="7" spans="1:5" ht="29.25" customHeight="1" x14ac:dyDescent="0.25">
      <c r="A7" s="573"/>
      <c r="B7" s="641"/>
      <c r="C7" s="641"/>
      <c r="D7" s="13" t="s">
        <v>945</v>
      </c>
      <c r="E7" s="13" t="s">
        <v>970</v>
      </c>
    </row>
    <row r="8" spans="1:5" x14ac:dyDescent="0.25">
      <c r="A8" s="642" t="s">
        <v>973</v>
      </c>
      <c r="B8" s="643"/>
      <c r="C8" s="643"/>
      <c r="D8" s="643"/>
      <c r="E8" s="644"/>
    </row>
    <row r="9" spans="1:5" x14ac:dyDescent="0.25">
      <c r="A9" s="130" t="s">
        <v>946</v>
      </c>
      <c r="B9" s="121">
        <f>SUM(B10:B15)</f>
        <v>0</v>
      </c>
      <c r="C9" s="121">
        <f>SUM(C10:C15)</f>
        <v>0</v>
      </c>
      <c r="D9" s="121">
        <f>B9-C9</f>
        <v>0</v>
      </c>
      <c r="E9" s="121">
        <f>IF(C9=0,0,(B6-C6)/C6)*100</f>
        <v>0</v>
      </c>
    </row>
    <row r="10" spans="1:5" x14ac:dyDescent="0.25">
      <c r="A10" s="15" t="s">
        <v>947</v>
      </c>
      <c r="B10" s="121"/>
      <c r="C10" s="121"/>
      <c r="D10" s="121">
        <f t="shared" ref="D10:D15" si="0">B10-C10</f>
        <v>0</v>
      </c>
      <c r="E10" s="121">
        <f t="shared" ref="E10:E15" si="1">IF(C10=0,0,(B7-C7)/C7)*100</f>
        <v>0</v>
      </c>
    </row>
    <row r="11" spans="1:5" x14ac:dyDescent="0.25">
      <c r="A11" s="15" t="s">
        <v>948</v>
      </c>
      <c r="B11" s="121"/>
      <c r="C11" s="121"/>
      <c r="D11" s="121">
        <f t="shared" si="0"/>
        <v>0</v>
      </c>
      <c r="E11" s="121">
        <f t="shared" si="1"/>
        <v>0</v>
      </c>
    </row>
    <row r="12" spans="1:5" x14ac:dyDescent="0.25">
      <c r="A12" s="15" t="s">
        <v>949</v>
      </c>
      <c r="B12" s="121"/>
      <c r="C12" s="121"/>
      <c r="D12" s="121">
        <f t="shared" si="0"/>
        <v>0</v>
      </c>
      <c r="E12" s="121">
        <f t="shared" si="1"/>
        <v>0</v>
      </c>
    </row>
    <row r="13" spans="1:5" x14ac:dyDescent="0.25">
      <c r="A13" s="15" t="s">
        <v>972</v>
      </c>
      <c r="B13" s="121"/>
      <c r="C13" s="121"/>
      <c r="D13" s="121">
        <f t="shared" si="0"/>
        <v>0</v>
      </c>
      <c r="E13" s="121">
        <f t="shared" si="1"/>
        <v>0</v>
      </c>
    </row>
    <row r="14" spans="1:5" x14ac:dyDescent="0.25">
      <c r="A14" s="15" t="s">
        <v>950</v>
      </c>
      <c r="B14" s="121"/>
      <c r="C14" s="121"/>
      <c r="D14" s="121">
        <f t="shared" si="0"/>
        <v>0</v>
      </c>
      <c r="E14" s="121">
        <f t="shared" si="1"/>
        <v>0</v>
      </c>
    </row>
    <row r="15" spans="1:5" ht="27.6" x14ac:dyDescent="0.25">
      <c r="A15" s="16" t="s">
        <v>951</v>
      </c>
      <c r="B15" s="121"/>
      <c r="C15" s="121"/>
      <c r="D15" s="121">
        <f t="shared" si="0"/>
        <v>0</v>
      </c>
      <c r="E15" s="121">
        <f t="shared" si="1"/>
        <v>0</v>
      </c>
    </row>
    <row r="16" spans="1:5" x14ac:dyDescent="0.25">
      <c r="A16" s="638" t="s">
        <v>974</v>
      </c>
      <c r="B16" s="639"/>
      <c r="C16" s="639"/>
      <c r="D16" s="639"/>
      <c r="E16" s="640"/>
    </row>
    <row r="17" spans="1:5" x14ac:dyDescent="0.25">
      <c r="A17" s="15" t="s">
        <v>952</v>
      </c>
      <c r="B17" s="15"/>
      <c r="C17" s="15"/>
      <c r="D17" s="15">
        <f>B17-C17</f>
        <v>0</v>
      </c>
      <c r="E17" s="15">
        <f>IF(C17=0,0,(B17-C17)/C17)*100</f>
        <v>0</v>
      </c>
    </row>
    <row r="18" spans="1:5" x14ac:dyDescent="0.25">
      <c r="A18" s="15" t="s">
        <v>953</v>
      </c>
      <c r="B18" s="15"/>
      <c r="C18" s="15"/>
      <c r="D18" s="15">
        <f t="shared" ref="D18:D30" si="2">B18-C18</f>
        <v>0</v>
      </c>
      <c r="E18" s="15">
        <f t="shared" ref="E18:E30" si="3">IF(C18=0,0,(B18-C18)/C18)*100</f>
        <v>0</v>
      </c>
    </row>
    <row r="19" spans="1:5" x14ac:dyDescent="0.25">
      <c r="A19" s="43" t="s">
        <v>954</v>
      </c>
      <c r="B19" s="15">
        <f>B17+B18</f>
        <v>0</v>
      </c>
      <c r="C19" s="15">
        <f t="shared" ref="C19" si="4">C17+C18</f>
        <v>0</v>
      </c>
      <c r="D19" s="15">
        <f t="shared" si="2"/>
        <v>0</v>
      </c>
      <c r="E19" s="15">
        <f t="shared" si="3"/>
        <v>0</v>
      </c>
    </row>
    <row r="20" spans="1:5" x14ac:dyDescent="0.25">
      <c r="A20" s="15" t="s">
        <v>955</v>
      </c>
      <c r="B20" s="15"/>
      <c r="C20" s="15"/>
      <c r="D20" s="15">
        <f t="shared" si="2"/>
        <v>0</v>
      </c>
      <c r="E20" s="15">
        <f t="shared" si="3"/>
        <v>0</v>
      </c>
    </row>
    <row r="21" spans="1:5" x14ac:dyDescent="0.25">
      <c r="A21" s="131" t="s">
        <v>956</v>
      </c>
      <c r="B21" s="18">
        <f>B19-B20</f>
        <v>0</v>
      </c>
      <c r="C21" s="18">
        <f t="shared" ref="C21" si="5">C19-C20</f>
        <v>0</v>
      </c>
      <c r="D21" s="18">
        <f t="shared" si="2"/>
        <v>0</v>
      </c>
      <c r="E21" s="18">
        <f t="shared" si="3"/>
        <v>0</v>
      </c>
    </row>
    <row r="22" spans="1:5" x14ac:dyDescent="0.25">
      <c r="A22" s="15" t="s">
        <v>957</v>
      </c>
      <c r="B22" s="15"/>
      <c r="C22" s="15"/>
      <c r="D22" s="15">
        <f t="shared" si="2"/>
        <v>0</v>
      </c>
      <c r="E22" s="15">
        <f t="shared" si="3"/>
        <v>0</v>
      </c>
    </row>
    <row r="23" spans="1:5" x14ac:dyDescent="0.25">
      <c r="A23" s="43" t="s">
        <v>958</v>
      </c>
      <c r="B23" s="15"/>
      <c r="C23" s="15"/>
      <c r="D23" s="15">
        <f t="shared" si="2"/>
        <v>0</v>
      </c>
      <c r="E23" s="15">
        <f t="shared" si="3"/>
        <v>0</v>
      </c>
    </row>
    <row r="24" spans="1:5" x14ac:dyDescent="0.25">
      <c r="A24" s="15" t="s">
        <v>975</v>
      </c>
      <c r="B24" s="15">
        <f>B22-B23</f>
        <v>0</v>
      </c>
      <c r="C24" s="15">
        <f t="shared" ref="C24" si="6">C22-C23</f>
        <v>0</v>
      </c>
      <c r="D24" s="15">
        <f t="shared" si="2"/>
        <v>0</v>
      </c>
      <c r="E24" s="15">
        <f t="shared" si="3"/>
        <v>0</v>
      </c>
    </row>
    <row r="25" spans="1:5" x14ac:dyDescent="0.25">
      <c r="A25" s="43" t="s">
        <v>959</v>
      </c>
      <c r="B25" s="15"/>
      <c r="C25" s="15"/>
      <c r="D25" s="15">
        <f t="shared" si="2"/>
        <v>0</v>
      </c>
      <c r="E25" s="15">
        <f t="shared" si="3"/>
        <v>0</v>
      </c>
    </row>
    <row r="26" spans="1:5" x14ac:dyDescent="0.25">
      <c r="A26" s="15" t="s">
        <v>976</v>
      </c>
      <c r="B26" s="15"/>
      <c r="C26" s="15"/>
      <c r="D26" s="15">
        <f t="shared" si="2"/>
        <v>0</v>
      </c>
      <c r="E26" s="15">
        <f t="shared" si="3"/>
        <v>0</v>
      </c>
    </row>
    <row r="27" spans="1:5" x14ac:dyDescent="0.25">
      <c r="A27" s="43" t="s">
        <v>960</v>
      </c>
      <c r="B27" s="15">
        <f>B25-B26</f>
        <v>0</v>
      </c>
      <c r="C27" s="15">
        <f t="shared" ref="C27" si="7">C25-C26</f>
        <v>0</v>
      </c>
      <c r="D27" s="15">
        <f t="shared" si="2"/>
        <v>0</v>
      </c>
      <c r="E27" s="15">
        <f t="shared" si="3"/>
        <v>0</v>
      </c>
    </row>
    <row r="28" spans="1:5" x14ac:dyDescent="0.25">
      <c r="A28" s="50" t="s">
        <v>961</v>
      </c>
      <c r="B28" s="18">
        <f>B24+B27</f>
        <v>0</v>
      </c>
      <c r="C28" s="18">
        <f t="shared" ref="C28" si="8">C24+C27</f>
        <v>0</v>
      </c>
      <c r="D28" s="18">
        <f t="shared" si="2"/>
        <v>0</v>
      </c>
      <c r="E28" s="18">
        <f t="shared" si="3"/>
        <v>0</v>
      </c>
    </row>
    <row r="29" spans="1:5" x14ac:dyDescent="0.25">
      <c r="A29" s="50" t="s">
        <v>962</v>
      </c>
      <c r="B29" s="18">
        <f>B21-B28</f>
        <v>0</v>
      </c>
      <c r="C29" s="18">
        <f t="shared" ref="C29" si="9">C21-C28</f>
        <v>0</v>
      </c>
      <c r="D29" s="18">
        <f t="shared" si="2"/>
        <v>0</v>
      </c>
      <c r="E29" s="18">
        <f t="shared" si="3"/>
        <v>0</v>
      </c>
    </row>
    <row r="30" spans="1:5" ht="27.6" x14ac:dyDescent="0.25">
      <c r="A30" s="16" t="s">
        <v>963</v>
      </c>
      <c r="B30" s="15"/>
      <c r="C30" s="15"/>
      <c r="D30" s="15">
        <f t="shared" si="2"/>
        <v>0</v>
      </c>
      <c r="E30" s="15">
        <f t="shared" si="3"/>
        <v>0</v>
      </c>
    </row>
    <row r="31" spans="1:5" x14ac:dyDescent="0.25">
      <c r="A31" s="638" t="s">
        <v>977</v>
      </c>
      <c r="B31" s="639"/>
      <c r="C31" s="639"/>
      <c r="D31" s="639"/>
      <c r="E31" s="640"/>
    </row>
    <row r="32" spans="1:5" x14ac:dyDescent="0.25">
      <c r="A32" s="15" t="s">
        <v>979</v>
      </c>
      <c r="B32" s="15"/>
      <c r="C32" s="15"/>
      <c r="D32" s="15"/>
      <c r="E32" s="15"/>
    </row>
    <row r="33" spans="1:6" x14ac:dyDescent="0.25">
      <c r="A33" s="638" t="s">
        <v>978</v>
      </c>
      <c r="B33" s="639"/>
      <c r="C33" s="639"/>
      <c r="D33" s="639"/>
      <c r="E33" s="640"/>
    </row>
    <row r="34" spans="1:6" x14ac:dyDescent="0.25">
      <c r="A34" s="15" t="s">
        <v>980</v>
      </c>
      <c r="B34" s="15"/>
      <c r="C34" s="15"/>
      <c r="D34" s="15">
        <f>B34-C34</f>
        <v>0</v>
      </c>
      <c r="E34" s="15">
        <f>IF(C34=0,0,(B34-C34)/C34)*100</f>
        <v>0</v>
      </c>
    </row>
    <row r="35" spans="1:6" x14ac:dyDescent="0.25">
      <c r="A35" s="15" t="s">
        <v>981</v>
      </c>
      <c r="B35" s="15"/>
      <c r="C35" s="15"/>
      <c r="D35" s="15">
        <f t="shared" ref="D35:D37" si="10">B35-C35</f>
        <v>0</v>
      </c>
      <c r="E35" s="15">
        <f t="shared" ref="E35:E37" si="11">IF(C35=0,0,(B35-C35)/C35)*100</f>
        <v>0</v>
      </c>
    </row>
    <row r="36" spans="1:6" x14ac:dyDescent="0.25">
      <c r="A36" s="15" t="s">
        <v>982</v>
      </c>
      <c r="B36" s="15"/>
      <c r="C36" s="15"/>
      <c r="D36" s="15">
        <f t="shared" si="10"/>
        <v>0</v>
      </c>
      <c r="E36" s="15">
        <f t="shared" si="11"/>
        <v>0</v>
      </c>
    </row>
    <row r="37" spans="1:6" x14ac:dyDescent="0.25">
      <c r="A37" s="129" t="s">
        <v>983</v>
      </c>
      <c r="B37" s="29">
        <f>SUM(B34:B36)</f>
        <v>0</v>
      </c>
      <c r="C37" s="29">
        <f t="shared" ref="C37" si="12">SUM(C34:C36)</f>
        <v>0</v>
      </c>
      <c r="D37" s="29">
        <f t="shared" si="10"/>
        <v>0</v>
      </c>
      <c r="E37" s="29">
        <f t="shared" si="11"/>
        <v>0</v>
      </c>
    </row>
    <row r="39" spans="1:6" x14ac:dyDescent="0.25">
      <c r="A39" s="528" t="s">
        <v>964</v>
      </c>
      <c r="B39" s="528"/>
      <c r="C39" s="528"/>
      <c r="D39" s="528"/>
      <c r="E39" s="528"/>
      <c r="F39" s="36"/>
    </row>
    <row r="40" spans="1:6" x14ac:dyDescent="0.25">
      <c r="A40" s="528" t="s">
        <v>965</v>
      </c>
      <c r="B40" s="528"/>
      <c r="C40" s="528"/>
      <c r="D40" s="528"/>
      <c r="E40" s="528"/>
      <c r="F40" s="36"/>
    </row>
    <row r="41" spans="1:6" x14ac:dyDescent="0.25">
      <c r="A41" s="528" t="s">
        <v>966</v>
      </c>
      <c r="B41" s="528"/>
      <c r="C41" s="528"/>
      <c r="D41" s="528"/>
      <c r="E41" s="528"/>
      <c r="F41" s="36"/>
    </row>
    <row r="42" spans="1:6" x14ac:dyDescent="0.25">
      <c r="A42" s="528" t="s">
        <v>967</v>
      </c>
      <c r="B42" s="528"/>
      <c r="C42" s="528"/>
      <c r="D42" s="528"/>
      <c r="E42" s="528"/>
      <c r="F42" s="36"/>
    </row>
    <row r="43" spans="1:6" x14ac:dyDescent="0.25">
      <c r="A43" s="528" t="s">
        <v>968</v>
      </c>
      <c r="B43" s="528"/>
      <c r="C43" s="528"/>
      <c r="D43" s="528"/>
      <c r="E43" s="528"/>
      <c r="F43" s="36"/>
    </row>
    <row r="44" spans="1:6" x14ac:dyDescent="0.25">
      <c r="A44" s="528" t="s">
        <v>969</v>
      </c>
      <c r="B44" s="528"/>
      <c r="C44" s="528"/>
      <c r="D44" s="528"/>
      <c r="E44" s="528"/>
      <c r="F44" s="36"/>
    </row>
    <row r="45" spans="1:6" x14ac:dyDescent="0.25">
      <c r="A45" s="528" t="s">
        <v>984</v>
      </c>
      <c r="B45" s="528"/>
      <c r="C45" s="528"/>
      <c r="D45" s="528"/>
      <c r="E45" s="528"/>
      <c r="F45" s="36"/>
    </row>
  </sheetData>
  <mergeCells count="15">
    <mergeCell ref="A16:E16"/>
    <mergeCell ref="A6:A7"/>
    <mergeCell ref="B6:B7"/>
    <mergeCell ref="C6:C7"/>
    <mergeCell ref="D6:E6"/>
    <mergeCell ref="A8:E8"/>
    <mergeCell ref="A42:E42"/>
    <mergeCell ref="A43:E43"/>
    <mergeCell ref="A44:E44"/>
    <mergeCell ref="A45:E45"/>
    <mergeCell ref="A31:E31"/>
    <mergeCell ref="A33:E33"/>
    <mergeCell ref="A39:E39"/>
    <mergeCell ref="A41:E41"/>
    <mergeCell ref="A40:E40"/>
  </mergeCells>
  <pageMargins left="0.7" right="0.7" top="0.75" bottom="0.75" header="0.3" footer="0.3"/>
  <pageSetup paperSize="9" scale="7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49"/>
  <sheetViews>
    <sheetView workbookViewId="0">
      <selection activeCell="C6" sqref="C6"/>
    </sheetView>
  </sheetViews>
  <sheetFormatPr baseColWidth="10" defaultColWidth="11.44140625" defaultRowHeight="13.8" x14ac:dyDescent="0.25"/>
  <cols>
    <col min="1" max="1" width="97.44140625" style="5" customWidth="1"/>
    <col min="2" max="16384" width="11.44140625" style="5"/>
  </cols>
  <sheetData>
    <row r="6" spans="1:1" x14ac:dyDescent="0.25">
      <c r="A6" s="32" t="s">
        <v>999</v>
      </c>
    </row>
    <row r="7" spans="1:1" x14ac:dyDescent="0.25">
      <c r="A7" s="138" t="s">
        <v>998</v>
      </c>
    </row>
    <row r="8" spans="1:1" x14ac:dyDescent="0.25">
      <c r="A8" s="134" t="s">
        <v>985</v>
      </c>
    </row>
    <row r="9" spans="1:1" x14ac:dyDescent="0.25">
      <c r="A9" s="132" t="s">
        <v>1001</v>
      </c>
    </row>
    <row r="10" spans="1:1" x14ac:dyDescent="0.25">
      <c r="A10" s="132" t="s">
        <v>1002</v>
      </c>
    </row>
    <row r="11" spans="1:1" x14ac:dyDescent="0.25">
      <c r="A11" s="133" t="s">
        <v>1003</v>
      </c>
    </row>
    <row r="12" spans="1:1" x14ac:dyDescent="0.25">
      <c r="A12" s="134" t="s">
        <v>986</v>
      </c>
    </row>
    <row r="13" spans="1:1" x14ac:dyDescent="0.25">
      <c r="A13" s="132" t="s">
        <v>1004</v>
      </c>
    </row>
    <row r="14" spans="1:1" x14ac:dyDescent="0.25">
      <c r="A14" s="133" t="s">
        <v>1005</v>
      </c>
    </row>
    <row r="15" spans="1:1" x14ac:dyDescent="0.25">
      <c r="A15" s="134" t="s">
        <v>987</v>
      </c>
    </row>
    <row r="16" spans="1:1" x14ac:dyDescent="0.25">
      <c r="A16" s="132" t="s">
        <v>1006</v>
      </c>
    </row>
    <row r="17" spans="1:1" ht="27.6" x14ac:dyDescent="0.25">
      <c r="A17" s="136" t="s">
        <v>1007</v>
      </c>
    </row>
    <row r="18" spans="1:1" x14ac:dyDescent="0.25">
      <c r="A18" s="134" t="s">
        <v>988</v>
      </c>
    </row>
    <row r="19" spans="1:1" x14ac:dyDescent="0.25">
      <c r="A19" s="132" t="s">
        <v>1008</v>
      </c>
    </row>
    <row r="20" spans="1:1" x14ac:dyDescent="0.25">
      <c r="A20" s="133" t="s">
        <v>989</v>
      </c>
    </row>
    <row r="21" spans="1:1" x14ac:dyDescent="0.25">
      <c r="A21" s="134" t="s">
        <v>990</v>
      </c>
    </row>
    <row r="22" spans="1:1" x14ac:dyDescent="0.25">
      <c r="A22" s="132" t="s">
        <v>1009</v>
      </c>
    </row>
    <row r="23" spans="1:1" x14ac:dyDescent="0.25">
      <c r="A23" s="133" t="s">
        <v>1010</v>
      </c>
    </row>
    <row r="24" spans="1:1" x14ac:dyDescent="0.25">
      <c r="A24" s="138" t="s">
        <v>1000</v>
      </c>
    </row>
    <row r="25" spans="1:1" x14ac:dyDescent="0.25">
      <c r="A25" s="134" t="s">
        <v>991</v>
      </c>
    </row>
    <row r="26" spans="1:1" ht="27.6" x14ac:dyDescent="0.25">
      <c r="A26" s="135" t="s">
        <v>1011</v>
      </c>
    </row>
    <row r="27" spans="1:1" x14ac:dyDescent="0.25">
      <c r="A27" s="132" t="s">
        <v>1012</v>
      </c>
    </row>
    <row r="28" spans="1:1" x14ac:dyDescent="0.25">
      <c r="A28" s="133" t="s">
        <v>1013</v>
      </c>
    </row>
    <row r="29" spans="1:1" x14ac:dyDescent="0.25">
      <c r="A29" s="134" t="s">
        <v>992</v>
      </c>
    </row>
    <row r="30" spans="1:1" ht="27.6" x14ac:dyDescent="0.25">
      <c r="A30" s="135" t="s">
        <v>1015</v>
      </c>
    </row>
    <row r="31" spans="1:1" x14ac:dyDescent="0.25">
      <c r="A31" s="132" t="s">
        <v>1014</v>
      </c>
    </row>
    <row r="32" spans="1:1" x14ac:dyDescent="0.25">
      <c r="A32" s="133" t="s">
        <v>1016</v>
      </c>
    </row>
    <row r="33" spans="1:1" x14ac:dyDescent="0.25">
      <c r="A33" s="134" t="s">
        <v>993</v>
      </c>
    </row>
    <row r="34" spans="1:1" x14ac:dyDescent="0.25">
      <c r="A34" s="132" t="s">
        <v>1017</v>
      </c>
    </row>
    <row r="35" spans="1:1" x14ac:dyDescent="0.25">
      <c r="A35" s="135" t="s">
        <v>1018</v>
      </c>
    </row>
    <row r="36" spans="1:1" ht="27.6" x14ac:dyDescent="0.25">
      <c r="A36" s="136" t="s">
        <v>1019</v>
      </c>
    </row>
    <row r="37" spans="1:1" x14ac:dyDescent="0.25">
      <c r="A37" s="134" t="s">
        <v>994</v>
      </c>
    </row>
    <row r="38" spans="1:1" x14ac:dyDescent="0.25">
      <c r="A38" s="133" t="s">
        <v>1020</v>
      </c>
    </row>
    <row r="39" spans="1:1" x14ac:dyDescent="0.25">
      <c r="A39" s="134" t="s">
        <v>995</v>
      </c>
    </row>
    <row r="40" spans="1:1" x14ac:dyDescent="0.25">
      <c r="A40" s="133" t="s">
        <v>1021</v>
      </c>
    </row>
    <row r="41" spans="1:1" ht="27.6" x14ac:dyDescent="0.25">
      <c r="A41" s="139" t="s">
        <v>1028</v>
      </c>
    </row>
    <row r="42" spans="1:1" x14ac:dyDescent="0.25">
      <c r="A42" s="134" t="s">
        <v>996</v>
      </c>
    </row>
    <row r="43" spans="1:1" x14ac:dyDescent="0.25">
      <c r="A43" s="132" t="s">
        <v>1022</v>
      </c>
    </row>
    <row r="44" spans="1:1" x14ac:dyDescent="0.25">
      <c r="A44" s="133" t="s">
        <v>1023</v>
      </c>
    </row>
    <row r="45" spans="1:1" ht="27.6" x14ac:dyDescent="0.25">
      <c r="A45" s="137" t="s">
        <v>1027</v>
      </c>
    </row>
    <row r="46" spans="1:1" x14ac:dyDescent="0.25">
      <c r="A46" s="132" t="s">
        <v>1024</v>
      </c>
    </row>
    <row r="47" spans="1:1" x14ac:dyDescent="0.25">
      <c r="A47" s="133" t="s">
        <v>1025</v>
      </c>
    </row>
    <row r="48" spans="1:1" x14ac:dyDescent="0.25">
      <c r="A48" s="134" t="s">
        <v>997</v>
      </c>
    </row>
    <row r="49" spans="1:1" x14ac:dyDescent="0.25">
      <c r="A49" s="133" t="s">
        <v>1026</v>
      </c>
    </row>
  </sheetData>
  <pageMargins left="0.7" right="0.7" top="0.75" bottom="0.75" header="0.3" footer="0.3"/>
  <pageSetup paperSize="9" scale="79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H25"/>
  <sheetViews>
    <sheetView workbookViewId="0">
      <selection activeCell="A4" sqref="A4"/>
    </sheetView>
  </sheetViews>
  <sheetFormatPr baseColWidth="10" defaultColWidth="11.44140625" defaultRowHeight="13.8" x14ac:dyDescent="0.25"/>
  <cols>
    <col min="1" max="1" width="11.44140625" style="5"/>
    <col min="2" max="2" width="37.109375" style="5" customWidth="1"/>
    <col min="3" max="3" width="15.77734375" style="5" customWidth="1"/>
    <col min="4" max="4" width="16.21875" style="5" customWidth="1"/>
    <col min="5" max="5" width="13.21875" style="5" customWidth="1"/>
    <col min="6" max="6" width="12.109375" style="5" customWidth="1"/>
    <col min="7" max="7" width="11.44140625" style="5"/>
    <col min="8" max="8" width="10" style="5" customWidth="1"/>
    <col min="9" max="16384" width="11.44140625" style="5"/>
  </cols>
  <sheetData>
    <row r="8" spans="1:8" x14ac:dyDescent="0.25">
      <c r="A8" s="5" t="s">
        <v>1179</v>
      </c>
    </row>
    <row r="10" spans="1:8" ht="27.6" x14ac:dyDescent="0.25">
      <c r="A10" s="636" t="s">
        <v>1180</v>
      </c>
      <c r="B10" s="636" t="s">
        <v>1123</v>
      </c>
      <c r="C10" s="353" t="s">
        <v>1181</v>
      </c>
      <c r="D10" s="13" t="s">
        <v>1124</v>
      </c>
      <c r="E10" s="13" t="s">
        <v>1125</v>
      </c>
      <c r="F10" s="13" t="s">
        <v>1128</v>
      </c>
      <c r="G10" s="353" t="s">
        <v>1182</v>
      </c>
      <c r="H10" s="353" t="s">
        <v>1126</v>
      </c>
    </row>
    <row r="11" spans="1:8" x14ac:dyDescent="0.25">
      <c r="A11" s="637"/>
      <c r="B11" s="637"/>
      <c r="C11" s="13">
        <v>1</v>
      </c>
      <c r="D11" s="13">
        <v>2</v>
      </c>
      <c r="E11" s="13">
        <v>3</v>
      </c>
      <c r="F11" s="13" t="s">
        <v>1183</v>
      </c>
      <c r="G11" s="13" t="s">
        <v>1184</v>
      </c>
      <c r="H11" s="360" t="s">
        <v>1127</v>
      </c>
    </row>
    <row r="12" spans="1:8" x14ac:dyDescent="0.25">
      <c r="A12" s="15"/>
      <c r="B12" s="15"/>
      <c r="C12" s="15"/>
      <c r="D12" s="15"/>
      <c r="E12" s="15"/>
      <c r="F12" s="15">
        <f>D12+E12</f>
        <v>0</v>
      </c>
      <c r="G12" s="15">
        <f>C12-F12</f>
        <v>0</v>
      </c>
      <c r="H12" s="15">
        <f>IF(C12=0,0,(F12/C12)*100)</f>
        <v>0</v>
      </c>
    </row>
    <row r="13" spans="1:8" x14ac:dyDescent="0.25">
      <c r="A13" s="15"/>
      <c r="B13" s="15"/>
      <c r="C13" s="15"/>
      <c r="D13" s="15"/>
      <c r="E13" s="15"/>
      <c r="F13" s="15">
        <f t="shared" ref="F13:F25" si="0">D13+E13</f>
        <v>0</v>
      </c>
      <c r="G13" s="15">
        <f t="shared" ref="G13:G25" si="1">C13-F13</f>
        <v>0</v>
      </c>
      <c r="H13" s="15">
        <f t="shared" ref="H13:H25" si="2">IF(C13=0,0,(F13/C13)*100)</f>
        <v>0</v>
      </c>
    </row>
    <row r="14" spans="1:8" x14ac:dyDescent="0.25">
      <c r="A14" s="15"/>
      <c r="B14" s="15"/>
      <c r="C14" s="15"/>
      <c r="D14" s="15"/>
      <c r="E14" s="15"/>
      <c r="F14" s="15">
        <f t="shared" si="0"/>
        <v>0</v>
      </c>
      <c r="G14" s="15">
        <f t="shared" si="1"/>
        <v>0</v>
      </c>
      <c r="H14" s="15">
        <f t="shared" si="2"/>
        <v>0</v>
      </c>
    </row>
    <row r="15" spans="1:8" x14ac:dyDescent="0.25">
      <c r="A15" s="15"/>
      <c r="B15" s="15"/>
      <c r="C15" s="15"/>
      <c r="D15" s="15"/>
      <c r="E15" s="15"/>
      <c r="F15" s="15">
        <f t="shared" si="0"/>
        <v>0</v>
      </c>
      <c r="G15" s="15">
        <f t="shared" si="1"/>
        <v>0</v>
      </c>
      <c r="H15" s="15">
        <f t="shared" si="2"/>
        <v>0</v>
      </c>
    </row>
    <row r="16" spans="1:8" x14ac:dyDescent="0.25">
      <c r="A16" s="15"/>
      <c r="B16" s="15"/>
      <c r="C16" s="15"/>
      <c r="D16" s="15"/>
      <c r="E16" s="15"/>
      <c r="F16" s="15">
        <f t="shared" si="0"/>
        <v>0</v>
      </c>
      <c r="G16" s="15">
        <f t="shared" si="1"/>
        <v>0</v>
      </c>
      <c r="H16" s="15">
        <f t="shared" si="2"/>
        <v>0</v>
      </c>
    </row>
    <row r="17" spans="1:8" x14ac:dyDescent="0.25">
      <c r="A17" s="15"/>
      <c r="B17" s="15"/>
      <c r="C17" s="15"/>
      <c r="D17" s="15"/>
      <c r="E17" s="15"/>
      <c r="F17" s="15">
        <f t="shared" si="0"/>
        <v>0</v>
      </c>
      <c r="G17" s="15">
        <f t="shared" si="1"/>
        <v>0</v>
      </c>
      <c r="H17" s="15">
        <f t="shared" si="2"/>
        <v>0</v>
      </c>
    </row>
    <row r="18" spans="1:8" x14ac:dyDescent="0.25">
      <c r="A18" s="15"/>
      <c r="B18" s="15"/>
      <c r="C18" s="15"/>
      <c r="D18" s="15"/>
      <c r="E18" s="15"/>
      <c r="F18" s="15">
        <f t="shared" si="0"/>
        <v>0</v>
      </c>
      <c r="G18" s="15">
        <f t="shared" si="1"/>
        <v>0</v>
      </c>
      <c r="H18" s="15">
        <f t="shared" si="2"/>
        <v>0</v>
      </c>
    </row>
    <row r="19" spans="1:8" x14ac:dyDescent="0.25">
      <c r="A19" s="15"/>
      <c r="B19" s="15"/>
      <c r="C19" s="15"/>
      <c r="D19" s="15"/>
      <c r="E19" s="15"/>
      <c r="F19" s="15">
        <f t="shared" si="0"/>
        <v>0</v>
      </c>
      <c r="G19" s="15">
        <f t="shared" si="1"/>
        <v>0</v>
      </c>
      <c r="H19" s="15">
        <f t="shared" si="2"/>
        <v>0</v>
      </c>
    </row>
    <row r="20" spans="1:8" x14ac:dyDescent="0.25">
      <c r="A20" s="15"/>
      <c r="B20" s="15"/>
      <c r="C20" s="15"/>
      <c r="D20" s="15"/>
      <c r="E20" s="15"/>
      <c r="F20" s="15">
        <f t="shared" si="0"/>
        <v>0</v>
      </c>
      <c r="G20" s="15">
        <f t="shared" si="1"/>
        <v>0</v>
      </c>
      <c r="H20" s="15">
        <f t="shared" si="2"/>
        <v>0</v>
      </c>
    </row>
    <row r="21" spans="1:8" x14ac:dyDescent="0.25">
      <c r="A21" s="15"/>
      <c r="B21" s="15"/>
      <c r="C21" s="15"/>
      <c r="D21" s="15"/>
      <c r="E21" s="15"/>
      <c r="F21" s="15">
        <f t="shared" si="0"/>
        <v>0</v>
      </c>
      <c r="G21" s="15">
        <f t="shared" si="1"/>
        <v>0</v>
      </c>
      <c r="H21" s="15">
        <f t="shared" si="2"/>
        <v>0</v>
      </c>
    </row>
    <row r="22" spans="1:8" x14ac:dyDescent="0.25">
      <c r="A22" s="15"/>
      <c r="B22" s="15"/>
      <c r="C22" s="15"/>
      <c r="D22" s="15"/>
      <c r="E22" s="15"/>
      <c r="F22" s="15">
        <f t="shared" si="0"/>
        <v>0</v>
      </c>
      <c r="G22" s="15">
        <f t="shared" si="1"/>
        <v>0</v>
      </c>
      <c r="H22" s="15">
        <f t="shared" si="2"/>
        <v>0</v>
      </c>
    </row>
    <row r="23" spans="1:8" x14ac:dyDescent="0.25">
      <c r="A23" s="15"/>
      <c r="B23" s="15"/>
      <c r="C23" s="15"/>
      <c r="D23" s="15"/>
      <c r="E23" s="15"/>
      <c r="F23" s="15">
        <f t="shared" si="0"/>
        <v>0</v>
      </c>
      <c r="G23" s="15">
        <f t="shared" si="1"/>
        <v>0</v>
      </c>
      <c r="H23" s="15">
        <f t="shared" si="2"/>
        <v>0</v>
      </c>
    </row>
    <row r="24" spans="1:8" x14ac:dyDescent="0.25">
      <c r="A24" s="15"/>
      <c r="B24" s="15"/>
      <c r="C24" s="15"/>
      <c r="D24" s="15"/>
      <c r="E24" s="15"/>
      <c r="F24" s="15">
        <f t="shared" si="0"/>
        <v>0</v>
      </c>
      <c r="G24" s="15">
        <f t="shared" si="1"/>
        <v>0</v>
      </c>
      <c r="H24" s="15">
        <f t="shared" si="2"/>
        <v>0</v>
      </c>
    </row>
    <row r="25" spans="1:8" x14ac:dyDescent="0.25">
      <c r="A25" s="498" t="s">
        <v>373</v>
      </c>
      <c r="B25" s="500"/>
      <c r="C25" s="361">
        <f>SUM(C12:C24)</f>
        <v>0</v>
      </c>
      <c r="D25" s="361">
        <f t="shared" ref="D25:E25" si="3">SUM(D12:D24)</f>
        <v>0</v>
      </c>
      <c r="E25" s="361">
        <f t="shared" si="3"/>
        <v>0</v>
      </c>
      <c r="F25" s="361">
        <f t="shared" si="0"/>
        <v>0</v>
      </c>
      <c r="G25" s="361">
        <f t="shared" si="1"/>
        <v>0</v>
      </c>
      <c r="H25" s="361">
        <f t="shared" si="2"/>
        <v>0</v>
      </c>
    </row>
  </sheetData>
  <mergeCells count="3">
    <mergeCell ref="A10:A11"/>
    <mergeCell ref="B10:B11"/>
    <mergeCell ref="A25:B25"/>
  </mergeCells>
  <pageMargins left="0.7" right="0.7" top="0.75" bottom="0.75" header="0.3" footer="0.3"/>
  <pageSetup paperSize="9" scale="58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39"/>
  <sheetViews>
    <sheetView topLeftCell="A21" workbookViewId="0">
      <selection activeCell="C6" sqref="C6:D6"/>
    </sheetView>
  </sheetViews>
  <sheetFormatPr baseColWidth="10" defaultColWidth="11.44140625" defaultRowHeight="10.199999999999999" x14ac:dyDescent="0.2"/>
  <cols>
    <col min="1" max="1" width="4.5546875" style="148" customWidth="1"/>
    <col min="2" max="2" width="31" style="140" customWidth="1"/>
    <col min="3" max="3" width="23.109375" style="148" customWidth="1"/>
    <col min="4" max="4" width="27" style="140" customWidth="1"/>
    <col min="5" max="5" width="4.77734375" style="140" customWidth="1"/>
    <col min="6" max="6" width="47.109375" style="149" customWidth="1"/>
    <col min="7" max="7" width="22.109375" style="140" customWidth="1"/>
    <col min="8" max="16384" width="11.44140625" style="140"/>
  </cols>
  <sheetData>
    <row r="4" spans="1:7" ht="13.8" x14ac:dyDescent="0.25">
      <c r="A4" s="645"/>
      <c r="B4" s="645"/>
      <c r="C4" s="645"/>
      <c r="D4" s="645"/>
    </row>
    <row r="6" spans="1:7" x14ac:dyDescent="0.2">
      <c r="A6" s="648" t="s">
        <v>1050</v>
      </c>
      <c r="B6" s="648" t="s">
        <v>1</v>
      </c>
      <c r="C6" s="646" t="s">
        <v>1052</v>
      </c>
      <c r="D6" s="647"/>
      <c r="E6" s="648" t="s">
        <v>0</v>
      </c>
      <c r="F6" s="648" t="s">
        <v>4</v>
      </c>
      <c r="G6" s="650" t="s">
        <v>1029</v>
      </c>
    </row>
    <row r="7" spans="1:7" ht="40.5" customHeight="1" x14ac:dyDescent="0.2">
      <c r="A7" s="649"/>
      <c r="B7" s="649"/>
      <c r="C7" s="152" t="s">
        <v>6</v>
      </c>
      <c r="D7" s="152" t="s">
        <v>1069</v>
      </c>
      <c r="E7" s="649"/>
      <c r="F7" s="649"/>
      <c r="G7" s="651"/>
    </row>
    <row r="8" spans="1:7" ht="30.6" x14ac:dyDescent="0.2">
      <c r="A8" s="145" t="s">
        <v>9</v>
      </c>
      <c r="B8" s="153" t="s">
        <v>1049</v>
      </c>
      <c r="C8" s="154"/>
      <c r="D8" s="154"/>
      <c r="E8" s="141" t="s">
        <v>12</v>
      </c>
      <c r="F8" s="143" t="s">
        <v>1051</v>
      </c>
      <c r="G8" s="141">
        <v>101</v>
      </c>
    </row>
    <row r="9" spans="1:7" x14ac:dyDescent="0.2">
      <c r="A9" s="141" t="s">
        <v>11</v>
      </c>
      <c r="B9" s="144" t="s">
        <v>1030</v>
      </c>
      <c r="C9" s="141">
        <v>201</v>
      </c>
      <c r="D9" s="141">
        <v>280.2901</v>
      </c>
      <c r="E9" s="141" t="s">
        <v>15</v>
      </c>
      <c r="F9" s="143" t="s">
        <v>1031</v>
      </c>
      <c r="G9" s="141">
        <v>102</v>
      </c>
    </row>
    <row r="10" spans="1:7" x14ac:dyDescent="0.2">
      <c r="A10" s="141" t="s">
        <v>18</v>
      </c>
      <c r="B10" s="144" t="s">
        <v>1032</v>
      </c>
      <c r="C10" s="141" t="s">
        <v>1061</v>
      </c>
      <c r="D10" s="141">
        <v>2902</v>
      </c>
      <c r="E10" s="141" t="s">
        <v>20</v>
      </c>
      <c r="F10" s="143" t="s">
        <v>16</v>
      </c>
      <c r="G10" s="141">
        <v>103</v>
      </c>
    </row>
    <row r="11" spans="1:7" x14ac:dyDescent="0.2">
      <c r="A11" s="145" t="s">
        <v>21</v>
      </c>
      <c r="B11" s="155" t="s">
        <v>1084</v>
      </c>
      <c r="C11" s="151"/>
      <c r="D11" s="151"/>
      <c r="E11" s="141" t="s">
        <v>23</v>
      </c>
      <c r="F11" s="143" t="s">
        <v>24</v>
      </c>
      <c r="G11" s="141">
        <v>104</v>
      </c>
    </row>
    <row r="12" spans="1:7" x14ac:dyDescent="0.2">
      <c r="A12" s="141" t="s">
        <v>25</v>
      </c>
      <c r="B12" s="144" t="s">
        <v>1053</v>
      </c>
      <c r="C12" s="141" t="s">
        <v>1062</v>
      </c>
      <c r="D12" s="142" t="s">
        <v>1065</v>
      </c>
      <c r="E12" s="141" t="s">
        <v>27</v>
      </c>
      <c r="F12" s="143" t="s">
        <v>1033</v>
      </c>
      <c r="G12" s="141">
        <v>106</v>
      </c>
    </row>
    <row r="13" spans="1:7" x14ac:dyDescent="0.2">
      <c r="A13" s="141" t="s">
        <v>30</v>
      </c>
      <c r="B13" s="144" t="s">
        <v>1054</v>
      </c>
      <c r="C13" s="141" t="s">
        <v>1060</v>
      </c>
      <c r="D13" s="141" t="s">
        <v>1066</v>
      </c>
      <c r="E13" s="141" t="s">
        <v>33</v>
      </c>
      <c r="F13" s="143" t="s">
        <v>1034</v>
      </c>
      <c r="G13" s="141">
        <v>11</v>
      </c>
    </row>
    <row r="14" spans="1:7" ht="20.399999999999999" x14ac:dyDescent="0.2">
      <c r="A14" s="141" t="s">
        <v>35</v>
      </c>
      <c r="B14" s="146" t="s">
        <v>1035</v>
      </c>
      <c r="C14" s="141">
        <v>251</v>
      </c>
      <c r="D14" s="141">
        <v>2951</v>
      </c>
      <c r="E14" s="141" t="s">
        <v>32</v>
      </c>
      <c r="F14" s="143" t="s">
        <v>1080</v>
      </c>
      <c r="G14" s="141">
        <v>12</v>
      </c>
    </row>
    <row r="15" spans="1:7" x14ac:dyDescent="0.2">
      <c r="A15" s="145" t="s">
        <v>38</v>
      </c>
      <c r="B15" s="155" t="s">
        <v>1085</v>
      </c>
      <c r="C15" s="151"/>
      <c r="D15" s="151"/>
      <c r="E15" s="141" t="s">
        <v>39</v>
      </c>
      <c r="F15" s="143" t="s">
        <v>1079</v>
      </c>
      <c r="G15" s="141" t="s">
        <v>1036</v>
      </c>
    </row>
    <row r="16" spans="1:7" x14ac:dyDescent="0.2">
      <c r="A16" s="141" t="s">
        <v>41</v>
      </c>
      <c r="B16" s="144" t="s">
        <v>42</v>
      </c>
      <c r="C16" s="141">
        <v>22</v>
      </c>
      <c r="D16" s="141" t="s">
        <v>1067</v>
      </c>
      <c r="E16" s="141" t="s">
        <v>43</v>
      </c>
      <c r="F16" s="143" t="s">
        <v>1037</v>
      </c>
      <c r="G16" s="141">
        <v>14</v>
      </c>
    </row>
    <row r="17" spans="1:7" x14ac:dyDescent="0.2">
      <c r="A17" s="141" t="s">
        <v>46</v>
      </c>
      <c r="B17" s="143" t="s">
        <v>47</v>
      </c>
      <c r="C17" s="142" t="s">
        <v>1063</v>
      </c>
      <c r="D17" s="142" t="s">
        <v>1068</v>
      </c>
      <c r="E17" s="141" t="s">
        <v>48</v>
      </c>
      <c r="F17" s="143" t="s">
        <v>1038</v>
      </c>
      <c r="G17" s="141">
        <v>15</v>
      </c>
    </row>
    <row r="18" spans="1:7" ht="22.5" customHeight="1" x14ac:dyDescent="0.2">
      <c r="A18" s="141" t="s">
        <v>50</v>
      </c>
      <c r="B18" s="147" t="s">
        <v>1055</v>
      </c>
      <c r="C18" s="141" t="s">
        <v>1064</v>
      </c>
      <c r="D18" s="142" t="s">
        <v>1071</v>
      </c>
      <c r="E18" s="145" t="s">
        <v>52</v>
      </c>
      <c r="F18" s="156" t="s">
        <v>53</v>
      </c>
      <c r="G18" s="151"/>
    </row>
    <row r="19" spans="1:7" x14ac:dyDescent="0.2">
      <c r="A19" s="141" t="s">
        <v>54</v>
      </c>
      <c r="B19" s="144" t="s">
        <v>1056</v>
      </c>
      <c r="C19" s="141" t="s">
        <v>1072</v>
      </c>
      <c r="D19" s="142" t="s">
        <v>1073</v>
      </c>
      <c r="E19" s="145" t="s">
        <v>56</v>
      </c>
      <c r="F19" s="143" t="s">
        <v>57</v>
      </c>
      <c r="G19" s="141">
        <v>16</v>
      </c>
    </row>
    <row r="20" spans="1:7" x14ac:dyDescent="0.2">
      <c r="A20" s="141" t="s">
        <v>59</v>
      </c>
      <c r="B20" s="144" t="s">
        <v>1057</v>
      </c>
      <c r="C20" s="141">
        <v>245.2945</v>
      </c>
      <c r="D20" s="141" t="s">
        <v>1074</v>
      </c>
      <c r="E20" s="145" t="s">
        <v>61</v>
      </c>
      <c r="F20" s="143" t="s">
        <v>1039</v>
      </c>
      <c r="G20" s="141">
        <v>17</v>
      </c>
    </row>
    <row r="21" spans="1:7" ht="20.399999999999999" x14ac:dyDescent="0.2">
      <c r="A21" s="141" t="s">
        <v>63</v>
      </c>
      <c r="B21" s="146" t="s">
        <v>1040</v>
      </c>
      <c r="C21" s="141">
        <v>252</v>
      </c>
      <c r="D21" s="141">
        <v>2952</v>
      </c>
      <c r="E21" s="145" t="s">
        <v>65</v>
      </c>
      <c r="F21" s="150" t="s">
        <v>66</v>
      </c>
      <c r="G21" s="141"/>
    </row>
    <row r="22" spans="1:7" x14ac:dyDescent="0.2">
      <c r="A22" s="145" t="s">
        <v>67</v>
      </c>
      <c r="B22" s="155" t="s">
        <v>69</v>
      </c>
      <c r="C22" s="151"/>
      <c r="D22" s="151"/>
      <c r="E22" s="145" t="s">
        <v>70</v>
      </c>
      <c r="F22" s="156" t="s">
        <v>71</v>
      </c>
      <c r="G22" s="151"/>
    </row>
    <row r="23" spans="1:7" x14ac:dyDescent="0.2">
      <c r="A23" s="141" t="s">
        <v>72</v>
      </c>
      <c r="B23" s="144" t="s">
        <v>451</v>
      </c>
      <c r="C23" s="141">
        <v>26</v>
      </c>
      <c r="D23" s="141">
        <v>296</v>
      </c>
      <c r="E23" s="141" t="s">
        <v>74</v>
      </c>
      <c r="F23" s="143" t="s">
        <v>75</v>
      </c>
      <c r="G23" s="141" t="s">
        <v>1081</v>
      </c>
    </row>
    <row r="24" spans="1:7" x14ac:dyDescent="0.2">
      <c r="A24" s="141" t="s">
        <v>77</v>
      </c>
      <c r="B24" s="144" t="s">
        <v>78</v>
      </c>
      <c r="C24" s="141">
        <v>27</v>
      </c>
      <c r="D24" s="141">
        <v>297</v>
      </c>
      <c r="E24" s="141" t="s">
        <v>79</v>
      </c>
      <c r="F24" s="143" t="s">
        <v>80</v>
      </c>
      <c r="G24" s="141">
        <v>187</v>
      </c>
    </row>
    <row r="25" spans="1:7" x14ac:dyDescent="0.2">
      <c r="A25" s="141"/>
      <c r="B25" s="144"/>
      <c r="C25" s="141"/>
      <c r="D25" s="141"/>
      <c r="E25" s="141" t="s">
        <v>81</v>
      </c>
      <c r="F25" s="143" t="s">
        <v>83</v>
      </c>
      <c r="G25" s="141">
        <v>19</v>
      </c>
    </row>
    <row r="26" spans="1:7" x14ac:dyDescent="0.2">
      <c r="A26" s="141"/>
      <c r="B26" s="144"/>
      <c r="C26" s="141"/>
      <c r="D26" s="141"/>
      <c r="E26" s="141" t="s">
        <v>82</v>
      </c>
      <c r="F26" s="156" t="s">
        <v>84</v>
      </c>
      <c r="G26" s="151"/>
    </row>
    <row r="27" spans="1:7" x14ac:dyDescent="0.2">
      <c r="A27" s="145" t="s">
        <v>85</v>
      </c>
      <c r="B27" s="159" t="s">
        <v>86</v>
      </c>
      <c r="C27" s="158"/>
      <c r="D27" s="158"/>
      <c r="E27" s="141" t="s">
        <v>87</v>
      </c>
      <c r="F27" s="160" t="s">
        <v>88</v>
      </c>
      <c r="G27" s="158"/>
    </row>
    <row r="28" spans="1:7" x14ac:dyDescent="0.2">
      <c r="A28" s="141" t="s">
        <v>89</v>
      </c>
      <c r="B28" s="144" t="s">
        <v>90</v>
      </c>
      <c r="C28" s="141" t="s">
        <v>1075</v>
      </c>
      <c r="D28" s="141">
        <v>498</v>
      </c>
      <c r="E28" s="141" t="s">
        <v>91</v>
      </c>
      <c r="F28" s="143" t="s">
        <v>531</v>
      </c>
      <c r="G28" s="141" t="s">
        <v>1082</v>
      </c>
    </row>
    <row r="29" spans="1:7" x14ac:dyDescent="0.2">
      <c r="A29" s="141" t="s">
        <v>93</v>
      </c>
      <c r="B29" s="144" t="s">
        <v>94</v>
      </c>
      <c r="C29" s="141" t="s">
        <v>1076</v>
      </c>
      <c r="D29" s="141">
        <v>39</v>
      </c>
      <c r="E29" s="141" t="s">
        <v>95</v>
      </c>
      <c r="F29" s="143" t="s">
        <v>357</v>
      </c>
      <c r="G29" s="141">
        <v>419</v>
      </c>
    </row>
    <row r="30" spans="1:7" x14ac:dyDescent="0.2">
      <c r="A30" s="141" t="s">
        <v>96</v>
      </c>
      <c r="B30" s="144" t="s">
        <v>97</v>
      </c>
      <c r="C30" s="141">
        <v>409</v>
      </c>
      <c r="D30" s="141">
        <v>490</v>
      </c>
      <c r="E30" s="141" t="s">
        <v>98</v>
      </c>
      <c r="F30" s="143" t="s">
        <v>99</v>
      </c>
      <c r="G30" s="141" t="s">
        <v>1041</v>
      </c>
    </row>
    <row r="31" spans="1:7" ht="20.399999999999999" x14ac:dyDescent="0.2">
      <c r="A31" s="141" t="s">
        <v>100</v>
      </c>
      <c r="B31" s="147" t="s">
        <v>1042</v>
      </c>
      <c r="C31" s="141" t="s">
        <v>1077</v>
      </c>
      <c r="D31" s="141">
        <v>491</v>
      </c>
      <c r="E31" s="141" t="s">
        <v>103</v>
      </c>
      <c r="F31" s="143" t="s">
        <v>104</v>
      </c>
      <c r="G31" s="142" t="s">
        <v>1083</v>
      </c>
    </row>
    <row r="32" spans="1:7" ht="20.399999999999999" x14ac:dyDescent="0.2">
      <c r="A32" s="141" t="s">
        <v>106</v>
      </c>
      <c r="B32" s="147" t="s">
        <v>107</v>
      </c>
      <c r="C32" s="142" t="s">
        <v>1078</v>
      </c>
      <c r="D32" s="141" t="s">
        <v>1043</v>
      </c>
      <c r="E32" s="141"/>
      <c r="F32" s="143"/>
      <c r="G32" s="141"/>
    </row>
    <row r="33" spans="1:7" x14ac:dyDescent="0.2">
      <c r="A33" s="145" t="s">
        <v>108</v>
      </c>
      <c r="B33" s="159" t="s">
        <v>109</v>
      </c>
      <c r="C33" s="158"/>
      <c r="D33" s="158"/>
      <c r="E33" s="145" t="s">
        <v>110</v>
      </c>
      <c r="F33" s="160" t="s">
        <v>111</v>
      </c>
      <c r="G33" s="158"/>
    </row>
    <row r="34" spans="1:7" x14ac:dyDescent="0.2">
      <c r="A34" s="141" t="s">
        <v>112</v>
      </c>
      <c r="B34" s="144" t="s">
        <v>279</v>
      </c>
      <c r="C34" s="141">
        <v>50</v>
      </c>
      <c r="D34" s="141">
        <v>590</v>
      </c>
      <c r="E34" s="141" t="s">
        <v>114</v>
      </c>
      <c r="F34" s="143" t="s">
        <v>1044</v>
      </c>
      <c r="G34" s="141" t="s">
        <v>1045</v>
      </c>
    </row>
    <row r="35" spans="1:7" x14ac:dyDescent="0.2">
      <c r="A35" s="141" t="s">
        <v>116</v>
      </c>
      <c r="B35" s="144" t="s">
        <v>1058</v>
      </c>
      <c r="C35" s="141">
        <v>51</v>
      </c>
      <c r="D35" s="141">
        <v>591</v>
      </c>
      <c r="E35" s="141"/>
      <c r="F35" s="143"/>
      <c r="G35" s="141"/>
    </row>
    <row r="36" spans="1:7" ht="20.399999999999999" x14ac:dyDescent="0.2">
      <c r="A36" s="141" t="s">
        <v>118</v>
      </c>
      <c r="B36" s="146" t="s">
        <v>1059</v>
      </c>
      <c r="C36" s="141" t="s">
        <v>1070</v>
      </c>
      <c r="D36" s="141" t="s">
        <v>1046</v>
      </c>
      <c r="E36" s="141"/>
      <c r="F36" s="143"/>
      <c r="G36" s="141"/>
    </row>
    <row r="37" spans="1:7" x14ac:dyDescent="0.2">
      <c r="A37" s="141" t="s">
        <v>120</v>
      </c>
      <c r="B37" s="159" t="s">
        <v>121</v>
      </c>
      <c r="C37" s="158"/>
      <c r="D37" s="158"/>
      <c r="E37" s="145" t="s">
        <v>122</v>
      </c>
      <c r="F37" s="160" t="s">
        <v>121</v>
      </c>
      <c r="G37" s="158"/>
    </row>
    <row r="38" spans="1:7" x14ac:dyDescent="0.2">
      <c r="A38" s="141" t="s">
        <v>124</v>
      </c>
      <c r="B38" s="144" t="s">
        <v>1047</v>
      </c>
      <c r="C38" s="141">
        <v>478</v>
      </c>
      <c r="D38" s="141">
        <v>478</v>
      </c>
      <c r="E38" s="141" t="s">
        <v>126</v>
      </c>
      <c r="F38" s="143" t="s">
        <v>1048</v>
      </c>
      <c r="G38" s="141">
        <v>479</v>
      </c>
    </row>
    <row r="39" spans="1:7" x14ac:dyDescent="0.2">
      <c r="A39" s="145" t="s">
        <v>128</v>
      </c>
      <c r="B39" s="162" t="s">
        <v>129</v>
      </c>
      <c r="C39" s="157"/>
      <c r="D39" s="157"/>
      <c r="E39" s="145" t="s">
        <v>130</v>
      </c>
      <c r="F39" s="161" t="s">
        <v>129</v>
      </c>
      <c r="G39" s="157"/>
    </row>
  </sheetData>
  <mergeCells count="7">
    <mergeCell ref="A4:D4"/>
    <mergeCell ref="C6:D6"/>
    <mergeCell ref="E6:E7"/>
    <mergeCell ref="F6:F7"/>
    <mergeCell ref="G6:G7"/>
    <mergeCell ref="B6:B7"/>
    <mergeCell ref="A6:A7"/>
  </mergeCells>
  <pageMargins left="0.7" right="0.7" top="0.75" bottom="0.75" header="0.3" footer="0.3"/>
  <pageSetup paperSize="9" scale="51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34"/>
  <sheetViews>
    <sheetView topLeftCell="A14" workbookViewId="0">
      <selection activeCell="G24" sqref="G24"/>
    </sheetView>
  </sheetViews>
  <sheetFormatPr baseColWidth="10" defaultColWidth="11.44140625" defaultRowHeight="13.8" x14ac:dyDescent="0.25"/>
  <cols>
    <col min="1" max="1" width="6" style="5" customWidth="1"/>
    <col min="2" max="2" width="55.5546875" style="68" customWidth="1"/>
    <col min="3" max="3" width="5.44140625" style="5" customWidth="1"/>
    <col min="4" max="4" width="26" style="5" customWidth="1"/>
    <col min="5" max="16384" width="11.44140625" style="5"/>
  </cols>
  <sheetData>
    <row r="7" spans="1:4" ht="62.25" customHeight="1" x14ac:dyDescent="0.25">
      <c r="A7" s="41" t="s">
        <v>0</v>
      </c>
      <c r="B7" s="41" t="s">
        <v>131</v>
      </c>
      <c r="C7" s="652" t="s">
        <v>1052</v>
      </c>
      <c r="D7" s="653"/>
    </row>
    <row r="8" spans="1:4" x14ac:dyDescent="0.25">
      <c r="A8" s="163" t="s">
        <v>133</v>
      </c>
      <c r="B8" s="165" t="s">
        <v>798</v>
      </c>
      <c r="C8" s="164" t="s">
        <v>1086</v>
      </c>
      <c r="D8" s="165">
        <v>701</v>
      </c>
    </row>
    <row r="9" spans="1:4" x14ac:dyDescent="0.25">
      <c r="A9" s="163" t="s">
        <v>135</v>
      </c>
      <c r="B9" s="165" t="s">
        <v>1087</v>
      </c>
      <c r="C9" s="164" t="s">
        <v>1086</v>
      </c>
      <c r="D9" s="165">
        <v>703</v>
      </c>
    </row>
    <row r="10" spans="1:4" x14ac:dyDescent="0.25">
      <c r="A10" s="163" t="s">
        <v>137</v>
      </c>
      <c r="B10" s="165" t="s">
        <v>1088</v>
      </c>
      <c r="C10" s="164" t="s">
        <v>1089</v>
      </c>
      <c r="D10" s="165">
        <v>704</v>
      </c>
    </row>
    <row r="11" spans="1:4" x14ac:dyDescent="0.25">
      <c r="A11" s="163" t="s">
        <v>139</v>
      </c>
      <c r="B11" s="165" t="s">
        <v>1090</v>
      </c>
      <c r="C11" s="164" t="s">
        <v>1089</v>
      </c>
      <c r="D11" s="165">
        <v>7051</v>
      </c>
    </row>
    <row r="12" spans="1:4" x14ac:dyDescent="0.25">
      <c r="A12" s="163" t="s">
        <v>141</v>
      </c>
      <c r="B12" s="165" t="s">
        <v>142</v>
      </c>
      <c r="C12" s="164" t="s">
        <v>1089</v>
      </c>
      <c r="D12" s="165" t="s">
        <v>1091</v>
      </c>
    </row>
    <row r="13" spans="1:4" x14ac:dyDescent="0.25">
      <c r="A13" s="163" t="s">
        <v>143</v>
      </c>
      <c r="B13" s="165" t="s">
        <v>1092</v>
      </c>
      <c r="C13" s="164" t="s">
        <v>1089</v>
      </c>
      <c r="D13" s="165">
        <v>71</v>
      </c>
    </row>
    <row r="14" spans="1:4" ht="27.6" x14ac:dyDescent="0.25">
      <c r="A14" s="163" t="s">
        <v>145</v>
      </c>
      <c r="B14" s="165" t="s">
        <v>146</v>
      </c>
      <c r="C14" s="164" t="s">
        <v>1093</v>
      </c>
      <c r="D14" s="26" t="s">
        <v>1113</v>
      </c>
    </row>
    <row r="15" spans="1:4" ht="27.6" x14ac:dyDescent="0.25">
      <c r="A15" s="163" t="s">
        <v>147</v>
      </c>
      <c r="B15" s="26" t="s">
        <v>1094</v>
      </c>
      <c r="C15" s="164" t="s">
        <v>1089</v>
      </c>
      <c r="D15" s="165">
        <v>79</v>
      </c>
    </row>
    <row r="16" spans="1:4" ht="27.6" x14ac:dyDescent="0.25">
      <c r="A16" s="163" t="s">
        <v>150</v>
      </c>
      <c r="B16" s="170" t="s">
        <v>1095</v>
      </c>
      <c r="C16" s="168"/>
      <c r="D16" s="169"/>
    </row>
    <row r="17" spans="1:4" x14ac:dyDescent="0.25">
      <c r="A17" s="163" t="s">
        <v>152</v>
      </c>
      <c r="B17" s="165" t="s">
        <v>153</v>
      </c>
      <c r="C17" s="164" t="s">
        <v>1096</v>
      </c>
      <c r="D17" s="165">
        <v>601</v>
      </c>
    </row>
    <row r="18" spans="1:4" x14ac:dyDescent="0.25">
      <c r="A18" s="163" t="s">
        <v>154</v>
      </c>
      <c r="B18" s="26" t="s">
        <v>1097</v>
      </c>
      <c r="C18" s="164" t="s">
        <v>1098</v>
      </c>
      <c r="D18" s="165">
        <v>6031</v>
      </c>
    </row>
    <row r="19" spans="1:4" x14ac:dyDescent="0.25">
      <c r="A19" s="163" t="s">
        <v>1111</v>
      </c>
      <c r="B19" s="165" t="s">
        <v>157</v>
      </c>
      <c r="C19" s="164" t="s">
        <v>1096</v>
      </c>
      <c r="D19" s="165">
        <v>602</v>
      </c>
    </row>
    <row r="20" spans="1:4" x14ac:dyDescent="0.25">
      <c r="A20" s="163" t="s">
        <v>158</v>
      </c>
      <c r="B20" s="165" t="s">
        <v>159</v>
      </c>
      <c r="C20" s="164" t="s">
        <v>1096</v>
      </c>
      <c r="D20" s="165" t="s">
        <v>1114</v>
      </c>
    </row>
    <row r="21" spans="1:4" ht="27.6" x14ac:dyDescent="0.25">
      <c r="A21" s="163" t="s">
        <v>160</v>
      </c>
      <c r="B21" s="26" t="s">
        <v>1099</v>
      </c>
      <c r="C21" s="164" t="s">
        <v>1100</v>
      </c>
      <c r="D21" s="165" t="s">
        <v>1115</v>
      </c>
    </row>
    <row r="22" spans="1:4" x14ac:dyDescent="0.25">
      <c r="A22" s="163" t="s">
        <v>162</v>
      </c>
      <c r="B22" s="165" t="s">
        <v>163</v>
      </c>
      <c r="C22" s="164" t="s">
        <v>1096</v>
      </c>
      <c r="D22" s="165">
        <v>61</v>
      </c>
    </row>
    <row r="23" spans="1:4" x14ac:dyDescent="0.25">
      <c r="A23" s="163" t="s">
        <v>164</v>
      </c>
      <c r="B23" s="165" t="s">
        <v>165</v>
      </c>
      <c r="C23" s="164" t="s">
        <v>1101</v>
      </c>
      <c r="D23" s="165" t="s">
        <v>1116</v>
      </c>
    </row>
    <row r="24" spans="1:4" x14ac:dyDescent="0.25">
      <c r="A24" s="163" t="s">
        <v>166</v>
      </c>
      <c r="B24" s="165" t="s">
        <v>1102</v>
      </c>
      <c r="C24" s="164" t="s">
        <v>1101</v>
      </c>
      <c r="D24" s="165">
        <v>64</v>
      </c>
    </row>
    <row r="25" spans="1:4" x14ac:dyDescent="0.25">
      <c r="A25" s="163" t="s">
        <v>168</v>
      </c>
      <c r="B25" s="165" t="s">
        <v>1103</v>
      </c>
      <c r="C25" s="164" t="s">
        <v>1101</v>
      </c>
      <c r="D25" s="165">
        <v>65</v>
      </c>
    </row>
    <row r="26" spans="1:4" x14ac:dyDescent="0.25">
      <c r="A26" s="163" t="s">
        <v>170</v>
      </c>
      <c r="B26" s="165" t="s">
        <v>171</v>
      </c>
      <c r="C26" s="164" t="s">
        <v>1101</v>
      </c>
      <c r="D26" s="165">
        <v>66</v>
      </c>
    </row>
    <row r="27" spans="1:4" x14ac:dyDescent="0.25">
      <c r="A27" s="163" t="s">
        <v>172</v>
      </c>
      <c r="B27" s="165" t="s">
        <v>1104</v>
      </c>
      <c r="C27" s="164" t="s">
        <v>1101</v>
      </c>
      <c r="D27" s="165">
        <v>67</v>
      </c>
    </row>
    <row r="28" spans="1:4" ht="27.6" x14ac:dyDescent="0.25">
      <c r="A28" s="163" t="s">
        <v>174</v>
      </c>
      <c r="B28" s="26" t="s">
        <v>1105</v>
      </c>
      <c r="C28" s="164" t="s">
        <v>1101</v>
      </c>
      <c r="D28" s="165" t="s">
        <v>1117</v>
      </c>
    </row>
    <row r="29" spans="1:4" ht="27.6" x14ac:dyDescent="0.25">
      <c r="A29" s="163" t="s">
        <v>176</v>
      </c>
      <c r="B29" s="170" t="s">
        <v>1106</v>
      </c>
      <c r="C29" s="168"/>
      <c r="D29" s="169"/>
    </row>
    <row r="30" spans="1:4" x14ac:dyDescent="0.25">
      <c r="A30" s="163" t="s">
        <v>177</v>
      </c>
      <c r="B30" s="166" t="s">
        <v>1107</v>
      </c>
      <c r="C30" s="164"/>
      <c r="D30" s="165"/>
    </row>
    <row r="31" spans="1:4" x14ac:dyDescent="0.25">
      <c r="A31" s="163" t="s">
        <v>179</v>
      </c>
      <c r="B31" s="165" t="s">
        <v>1108</v>
      </c>
      <c r="C31" s="164" t="s">
        <v>1086</v>
      </c>
      <c r="D31" s="165" t="s">
        <v>1118</v>
      </c>
    </row>
    <row r="32" spans="1:4" x14ac:dyDescent="0.25">
      <c r="A32" s="163" t="s">
        <v>181</v>
      </c>
      <c r="B32" s="165" t="s">
        <v>1109</v>
      </c>
      <c r="C32" s="164" t="s">
        <v>1101</v>
      </c>
      <c r="D32" s="165" t="s">
        <v>1119</v>
      </c>
    </row>
    <row r="33" spans="1:4" x14ac:dyDescent="0.25">
      <c r="A33" s="163" t="s">
        <v>1112</v>
      </c>
      <c r="B33" s="166" t="s">
        <v>1110</v>
      </c>
      <c r="C33" s="15"/>
      <c r="D33" s="165"/>
    </row>
    <row r="34" spans="1:4" ht="27.6" x14ac:dyDescent="0.25">
      <c r="A34" s="163" t="s">
        <v>185</v>
      </c>
      <c r="B34" s="173" t="s">
        <v>1120</v>
      </c>
      <c r="C34" s="171"/>
      <c r="D34" s="172"/>
    </row>
  </sheetData>
  <mergeCells count="1">
    <mergeCell ref="C7:D7"/>
  </mergeCells>
  <pageMargins left="0.7" right="0.7" top="0.75" bottom="0.75" header="0.3" footer="0.3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53</vt:i4>
      </vt:variant>
      <vt:variant>
        <vt:lpstr>Plages nommées</vt:lpstr>
      </vt:variant>
      <vt:variant>
        <vt:i4>52</vt:i4>
      </vt:variant>
    </vt:vector>
  </HeadingPairs>
  <TitlesOfParts>
    <vt:vector size="105" baseType="lpstr">
      <vt:lpstr>PAGE DE GARDE</vt:lpstr>
      <vt:lpstr>BILAN</vt:lpstr>
      <vt:lpstr>COMPTE_DE_RESULTAT</vt:lpstr>
      <vt:lpstr>EXECUTION BUDGETAIRE</vt:lpstr>
      <vt:lpstr>TFT</vt:lpstr>
      <vt:lpstr>NOTES </vt:lpstr>
      <vt:lpstr>NOTE 1</vt:lpstr>
      <vt:lpstr>NOTE 2</vt:lpstr>
      <vt:lpstr>NOTE 3</vt:lpstr>
      <vt:lpstr>NOTE 4 </vt:lpstr>
      <vt:lpstr>NOTE 5A</vt:lpstr>
      <vt:lpstr>NOTE 5B</vt:lpstr>
      <vt:lpstr>NOTE 5C</vt:lpstr>
      <vt:lpstr>NOTE 5D</vt:lpstr>
      <vt:lpstr>NOTE 5E</vt:lpstr>
      <vt:lpstr>NOTE 5F</vt:lpstr>
      <vt:lpstr>NOTE 5G</vt:lpstr>
      <vt:lpstr>NOTE 5H</vt:lpstr>
      <vt:lpstr>NOTE 6</vt:lpstr>
      <vt:lpstr>NOTE 7</vt:lpstr>
      <vt:lpstr>NOTE 8</vt:lpstr>
      <vt:lpstr>NOTE 9</vt:lpstr>
      <vt:lpstr>NOTE 10</vt:lpstr>
      <vt:lpstr>NOTE 11</vt:lpstr>
      <vt:lpstr>NOTE 12</vt:lpstr>
      <vt:lpstr>NOTE 13</vt:lpstr>
      <vt:lpstr>NOTE 14</vt:lpstr>
      <vt:lpstr>NOTE 15</vt:lpstr>
      <vt:lpstr>NOTE 16</vt:lpstr>
      <vt:lpstr>NOTE 17A</vt:lpstr>
      <vt:lpstr>NOTE 17B</vt:lpstr>
      <vt:lpstr>NOTE 18A</vt:lpstr>
      <vt:lpstr>NOTE 18B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</vt:lpstr>
      <vt:lpstr>NOTE 28</vt:lpstr>
      <vt:lpstr>NOTE 29A</vt:lpstr>
      <vt:lpstr>NOTE 29B</vt:lpstr>
      <vt:lpstr>NOTE 30</vt:lpstr>
      <vt:lpstr>NOTE 31</vt:lpstr>
      <vt:lpstr>NOTE 32</vt:lpstr>
      <vt:lpstr>NOTE 33</vt:lpstr>
      <vt:lpstr>NOTE 34</vt:lpstr>
      <vt:lpstr>NOTE 35</vt:lpstr>
      <vt:lpstr>CORRESPONDANCE-BILAN</vt:lpstr>
      <vt:lpstr>CORRESPONDANCE-RESULTAT</vt:lpstr>
      <vt:lpstr>BILAN!Zone_d_impression</vt:lpstr>
      <vt:lpstr>COMPTE_DE_RESULTAT!Zone_d_impression</vt:lpstr>
      <vt:lpstr>'CORRESPONDANCE-BILAN'!Zone_d_impression</vt:lpstr>
      <vt:lpstr>'CORRESPONDANCE-RESULTAT'!Zone_d_impression</vt:lpstr>
      <vt:lpstr>'EXECUTION BUDGETAIRE'!Zone_d_impression</vt:lpstr>
      <vt:lpstr>'NOTE 1'!Zone_d_impression</vt:lpstr>
      <vt:lpstr>'NOTE 10'!Zone_d_impression</vt:lpstr>
      <vt:lpstr>'NOTE 11'!Zone_d_impression</vt:lpstr>
      <vt:lpstr>'NOTE 12'!Zone_d_impression</vt:lpstr>
      <vt:lpstr>'NOTE 13'!Zone_d_impression</vt:lpstr>
      <vt:lpstr>'NOTE 14'!Zone_d_impression</vt:lpstr>
      <vt:lpstr>'NOTE 15'!Zone_d_impression</vt:lpstr>
      <vt:lpstr>'NOTE 16'!Zone_d_impression</vt:lpstr>
      <vt:lpstr>'NOTE 17A'!Zone_d_impression</vt:lpstr>
      <vt:lpstr>'NOTE 17B'!Zone_d_impression</vt:lpstr>
      <vt:lpstr>'NOTE 18A'!Zone_d_impression</vt:lpstr>
      <vt:lpstr>'NOTE 18B'!Zone_d_impression</vt:lpstr>
      <vt:lpstr>'NOTE 19'!Zone_d_impression</vt:lpstr>
      <vt:lpstr>'NOTE 2'!Zone_d_impression</vt:lpstr>
      <vt:lpstr>'NOTE 20'!Zone_d_impression</vt:lpstr>
      <vt:lpstr>'NOTE 21'!Zone_d_impression</vt:lpstr>
      <vt:lpstr>'NOTE 22'!Zone_d_impression</vt:lpstr>
      <vt:lpstr>'NOTE 23'!Zone_d_impression</vt:lpstr>
      <vt:lpstr>'NOTE 24'!Zone_d_impression</vt:lpstr>
      <vt:lpstr>'NOTE 25'!Zone_d_impression</vt:lpstr>
      <vt:lpstr>'NOTE 26'!Zone_d_impression</vt:lpstr>
      <vt:lpstr>'NOTE 27'!Zone_d_impression</vt:lpstr>
      <vt:lpstr>'NOTE 28'!Zone_d_impression</vt:lpstr>
      <vt:lpstr>'NOTE 29A'!Zone_d_impression</vt:lpstr>
      <vt:lpstr>'NOTE 29B'!Zone_d_impression</vt:lpstr>
      <vt:lpstr>'NOTE 3'!Zone_d_impression</vt:lpstr>
      <vt:lpstr>'NOTE 30'!Zone_d_impression</vt:lpstr>
      <vt:lpstr>'NOTE 31'!Zone_d_impression</vt:lpstr>
      <vt:lpstr>'NOTE 32'!Zone_d_impression</vt:lpstr>
      <vt:lpstr>'NOTE 33'!Zone_d_impression</vt:lpstr>
      <vt:lpstr>'NOTE 34'!Zone_d_impression</vt:lpstr>
      <vt:lpstr>'NOTE 35'!Zone_d_impression</vt:lpstr>
      <vt:lpstr>'NOTE 4 '!Zone_d_impression</vt:lpstr>
      <vt:lpstr>'NOTE 5A'!Zone_d_impression</vt:lpstr>
      <vt:lpstr>'NOTE 5B'!Zone_d_impression</vt:lpstr>
      <vt:lpstr>'NOTE 5C'!Zone_d_impression</vt:lpstr>
      <vt:lpstr>'NOTE 5D'!Zone_d_impression</vt:lpstr>
      <vt:lpstr>'NOTE 5E'!Zone_d_impression</vt:lpstr>
      <vt:lpstr>'NOTE 5F'!Zone_d_impression</vt:lpstr>
      <vt:lpstr>'NOTE 5G'!Zone_d_impression</vt:lpstr>
      <vt:lpstr>'NOTE 5H'!Zone_d_impression</vt:lpstr>
      <vt:lpstr>'NOTE 6'!Zone_d_impression</vt:lpstr>
      <vt:lpstr>'NOTE 7'!Zone_d_impression</vt:lpstr>
      <vt:lpstr>'NOTE 8'!Zone_d_impression</vt:lpstr>
      <vt:lpstr>'NOTE 9'!Zone_d_impression</vt:lpstr>
      <vt:lpstr>'NOTES '!Zone_d_impression</vt:lpstr>
      <vt:lpstr>TFT!Zone_d_impression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BCG</dc:creator>
  <cp:lastModifiedBy>ADMIN</cp:lastModifiedBy>
  <cp:lastPrinted>2023-06-19T16:47:41Z</cp:lastPrinted>
  <dcterms:created xsi:type="dcterms:W3CDTF">2023-05-31T15:54:16Z</dcterms:created>
  <dcterms:modified xsi:type="dcterms:W3CDTF">2026-06-17T17:17:35Z</dcterms:modified>
</cp:coreProperties>
</file>